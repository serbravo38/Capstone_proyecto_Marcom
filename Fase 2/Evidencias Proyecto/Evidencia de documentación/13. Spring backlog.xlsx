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00_Resumen_Consolidado" sheetId="1" state="visible" r:id="rId2"/>
    <sheet name="Sprint_1_Backlog" sheetId="2" state="visible" r:id="rId3"/>
    <sheet name="Sprint_2_Backlog" sheetId="3" state="visible" r:id="rId4"/>
    <sheet name="Sprint_3_Backlog" sheetId="4" state="visible" r:id="rId5"/>
    <sheet name="Sprint_4_Backlog" sheetId="5" state="visible" r:id="rId6"/>
    <sheet name="Burndown_Data" sheetId="6" state="visible" r:id="rId7"/>
  </sheets>
  <definedNames>
    <definedName function="false" hidden="true" localSheetId="1" name="_xlnm._FilterDatabase" vbProcedure="false">Sprint_1_Backlog!$A$5:$J$21</definedName>
    <definedName function="false" hidden="true" localSheetId="2" name="_xlnm._FilterDatabase" vbProcedure="false">Sprint_2_Backlog!$A$5:$J$18</definedName>
    <definedName function="false" hidden="true" localSheetId="3" name="_xlnm._FilterDatabase" vbProcedure="false">Sprint_3_Backlog!$A$5:$J$16</definedName>
    <definedName function="false" hidden="true" localSheetId="4" name="_xlnm._FilterDatabase" vbProcedure="false">Sprint_4_Backlog!$A$5:$J$16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<sst xmlns="http://schemas.openxmlformats.org/spreadsheetml/2006/main" count="457" uniqueCount="217">
  <si>
    <t xml:space="preserve">MARCOM — Resumen consolidado del Sprint Backlog</t>
  </si>
  <si>
    <t xml:space="preserve">109 puntos de historia  ·  horas según planning 12.1 a 12.4  ·  Sprint 4 en curso al 7 oct</t>
  </si>
  <si>
    <t xml:space="preserve">Sprint</t>
  </si>
  <si>
    <t xml:space="preserve">Foco del Sprint (Sprint Goal)</t>
  </si>
  <si>
    <t xml:space="preserve">Puntos Comprometidos</t>
  </si>
  <si>
    <t xml:space="preserve">Horas Estimadas</t>
  </si>
  <si>
    <t xml:space="preserve">Horas Reales</t>
  </si>
  <si>
    <t xml:space="preserve">Estado</t>
  </si>
  <si>
    <t xml:space="preserve">Sprint 1</t>
  </si>
  <si>
    <t xml:space="preserve">Núcleo de Plataforma, Autenticación JWT y Control de Bodega/QR</t>
  </si>
  <si>
    <t xml:space="preserve">Sprint 2</t>
  </si>
  <si>
    <t xml:space="preserve">Operación en terreno, evidencia digital, reagendamiento y movimientos de bodega</t>
  </si>
  <si>
    <t xml:space="preserve">Sprint 3</t>
  </si>
  <si>
    <t xml:space="preserve">Ecosistema Transaccional, Pasarela Flow y Simulador DTE/SII</t>
  </si>
  <si>
    <t xml:space="preserve">Sprint 4</t>
  </si>
  <si>
    <t xml:space="preserve">Dashboard de KPIs, venta de activo recuperado (HU-BILL-06), Docker y E2E</t>
  </si>
  <si>
    <t xml:space="preserve">TOTAL</t>
  </si>
  <si>
    <t xml:space="preserve">Proyecto completo MARCOM (MVP)</t>
  </si>
  <si>
    <t xml:space="preserve">Distribución de horas por integrante (todo el proyecto)</t>
  </si>
  <si>
    <t xml:space="preserve">Integrante</t>
  </si>
  <si>
    <t xml:space="preserve">Total</t>
  </si>
  <si>
    <t xml:space="preserve">Sergio Bravo</t>
  </si>
  <si>
    <t xml:space="preserve">Julio Mena</t>
  </si>
  <si>
    <t xml:space="preserve">Felipe Madrid</t>
  </si>
  <si>
    <t xml:space="preserve">MARCOM — Sprint 1 — Núcleo y bodega</t>
  </si>
  <si>
    <t xml:space="preserve">26 puntos  ·  24 ago – 4 sep 2026  ·  horas según planning 12.1</t>
  </si>
  <si>
    <t xml:space="preserve">ID Tarea</t>
  </si>
  <si>
    <t xml:space="preserve">ID Historia</t>
  </si>
  <si>
    <t xml:space="preserve">Épica</t>
  </si>
  <si>
    <t xml:space="preserve">Descripción Tarea Técnica</t>
  </si>
  <si>
    <t xml:space="preserve">Responsable</t>
  </si>
  <si>
    <t xml:space="preserve">Rol</t>
  </si>
  <si>
    <t xml:space="preserve">Horas Restantes</t>
  </si>
  <si>
    <t xml:space="preserve">T-BE-101</t>
  </si>
  <si>
    <t xml:space="preserve">HU-AUTH-01</t>
  </si>
  <si>
    <t xml:space="preserve">Auth</t>
  </si>
  <si>
    <t xml:space="preserve">Configurar esquemas PostgreSQL (auth_customer_schema, inventory_schema)</t>
  </si>
  <si>
    <t xml:space="preserve">Back-end</t>
  </si>
  <si>
    <t xml:space="preserve">T-BE-102</t>
  </si>
  <si>
    <t xml:space="preserve">Endpoint /auth/login con validación por correo y firma JWT</t>
  </si>
  <si>
    <t xml:space="preserve">T-BE-103</t>
  </si>
  <si>
    <t xml:space="preserve">HU-AUTH-02</t>
  </si>
  <si>
    <t xml:space="preserve">CRUD de usuarios y middleware RBAC</t>
  </si>
  <si>
    <t xml:space="preserve">T-BE-104</t>
  </si>
  <si>
    <t xml:space="preserve">HU-INV-01</t>
  </si>
  <si>
    <t xml:space="preserve">Inventory</t>
  </si>
  <si>
    <t xml:space="preserve">Unicidad de serial_number y generación de payload QR</t>
  </si>
  <si>
    <t xml:space="preserve">T-BE-105</t>
  </si>
  <si>
    <t xml:space="preserve">HU-INV-02</t>
  </si>
  <si>
    <t xml:space="preserve">Endpoints de cambio de estado e historial de movimientos</t>
  </si>
  <si>
    <t xml:space="preserve">T-BE-106</t>
  </si>
  <si>
    <t xml:space="preserve">HU-INV-03</t>
  </si>
  <si>
    <t xml:space="preserve">API de búsqueda de activos y endpoint de creación de OT</t>
  </si>
  <si>
    <t xml:space="preserve">T-FE-101</t>
  </si>
  <si>
    <t xml:space="preserve">Pantallas de login por correo y creación de usuario en React + Tailwind</t>
  </si>
  <si>
    <t xml:space="preserve">Front-end/QA</t>
  </si>
  <si>
    <t xml:space="preserve">T-FE-102</t>
  </si>
  <si>
    <t xml:space="preserve">Estado global de sesión y persistencia segura del token JWT</t>
  </si>
  <si>
    <t xml:space="preserve">T-FE-103</t>
  </si>
  <si>
    <t xml:space="preserve">Formulario de alta de activo con render de código QR</t>
  </si>
  <si>
    <t xml:space="preserve">T-FE-104</t>
  </si>
  <si>
    <t xml:space="preserve">Tabla de inventario con filtros dinámicos por serie/SKU</t>
  </si>
  <si>
    <t xml:space="preserve">T-FE-105</t>
  </si>
  <si>
    <t xml:space="preserve">HU-OT-01</t>
  </si>
  <si>
    <t xml:space="preserve">Work Orders</t>
  </si>
  <si>
    <t xml:space="preserve">Formulario de creación y asignación de Orden de Trabajo</t>
  </si>
  <si>
    <t xml:space="preserve">T-FE-106</t>
  </si>
  <si>
    <t xml:space="preserve">Pruebas de integración de interfaz React con FastAPI</t>
  </si>
  <si>
    <t xml:space="preserve">T-SM-101</t>
  </si>
  <si>
    <t xml:space="preserve">Transversal</t>
  </si>
  <si>
    <t xml:space="preserve">Gestión</t>
  </si>
  <si>
    <t xml:space="preserve">Validar DoR de las 7 HUs y habilitar historias en GitHub Projects</t>
  </si>
  <si>
    <t xml:space="preserve">Scrum Master</t>
  </si>
  <si>
    <t xml:space="preserve">T-SM-102</t>
  </si>
  <si>
    <t xml:space="preserve">Configurar Scrum Board, milestones y etiquetas en GitHub</t>
  </si>
  <si>
    <t xml:space="preserve">T-SM-103</t>
  </si>
  <si>
    <t xml:space="preserve">Facilitar Daily Scrum y mantener actualizado el Impediment Log</t>
  </si>
  <si>
    <t xml:space="preserve">T-SM-104</t>
  </si>
  <si>
    <t xml:space="preserve">QA</t>
  </si>
  <si>
    <t xml:space="preserve">Redactar y ejecutar casos de prueba BDD del Sprint 1</t>
  </si>
  <si>
    <t xml:space="preserve">SUBTOTAL — TOTAL SPRINT 1 — NÚCLEO Y BODEGA</t>
  </si>
  <si>
    <t xml:space="preserve">MARCOM — Sprint 2 — Terreno y evidencia</t>
  </si>
  <si>
    <t xml:space="preserve">26 puntos  ·  7–18 sep 2026  ·  horas según planning 12.2</t>
  </si>
  <si>
    <t xml:space="preserve">T-BE-201</t>
  </si>
  <si>
    <t xml:space="preserve">HU-OT-02</t>
  </si>
  <si>
    <t xml:space="preserve">Almacenamiento de archivos para imágenes y firmas</t>
  </si>
  <si>
    <t xml:space="preserve">T-BE-202</t>
  </si>
  <si>
    <t xml:space="preserve">Endpoint /work-orders/{id}/evidence (multipart)</t>
  </si>
  <si>
    <t xml:space="preserve">T-BE-203</t>
  </si>
  <si>
    <t xml:space="preserve">HU-OT-03</t>
  </si>
  <si>
    <t xml:space="preserve">Cambio automático de OT a COMPLETADA con timestamp</t>
  </si>
  <si>
    <t xml:space="preserve">T-BE-204</t>
  </si>
  <si>
    <t xml:space="preserve">HU-INV-04</t>
  </si>
  <si>
    <t xml:space="preserve">Transferencia de activos entre bodegas y rebaja por OT</t>
  </si>
  <si>
    <t xml:space="preserve">T-BE-205</t>
  </si>
  <si>
    <t xml:space="preserve">HU-INV-05</t>
  </si>
  <si>
    <t xml:space="preserve">API de stock crítico y umbrales mínimos</t>
  </si>
  <si>
    <t xml:space="preserve">T-FE-201</t>
  </si>
  <si>
    <t xml:space="preserve">Interfaz mobile-first para ejecución de OT</t>
  </si>
  <si>
    <t xml:space="preserve">T-FE-202</t>
  </si>
  <si>
    <t xml:space="preserve">Canvas en React para firma manuscrita</t>
  </si>
  <si>
    <t xml:space="preserve">T-FE-203</t>
  </si>
  <si>
    <t xml:space="preserve">Captura y vista previa de fotografía</t>
  </si>
  <si>
    <t xml:space="preserve">T-FE-204</t>
  </si>
  <si>
    <t xml:space="preserve">Seguimiento de OT con badges de estado</t>
  </si>
  <si>
    <t xml:space="preserve">T-FE-205</t>
  </si>
  <si>
    <t xml:space="preserve">Pantalla de transferencias entre bodegas</t>
  </si>
  <si>
    <t xml:space="preserve">T-SM-201</t>
  </si>
  <si>
    <t xml:space="preserve">Verificar DoR de terreno y coordinar pruebas en móvil</t>
  </si>
  <si>
    <t xml:space="preserve">T-SM-202</t>
  </si>
  <si>
    <t xml:space="preserve">Monitorear burndown y cuellos de botella en uploads</t>
  </si>
  <si>
    <t xml:space="preserve">T-SM-203</t>
  </si>
  <si>
    <t xml:space="preserve">Pruebas de foto y firma en baja conectividad</t>
  </si>
  <si>
    <t xml:space="preserve">T-SM-204</t>
  </si>
  <si>
    <t xml:space="preserve">Ceremonias del Sprint 2 e Impediment Log</t>
  </si>
  <si>
    <t xml:space="preserve">SUBTOTAL — TOTAL SPRINT 2 — TERRENO Y EVIDENCIA</t>
  </si>
  <si>
    <t xml:space="preserve">MARCOM — Sprint 3 — Flow y DTE/SII</t>
  </si>
  <si>
    <t xml:space="preserve">26 puntos  ·  21 sep – 2 oct 2026  ·  horas según planning 12.3</t>
  </si>
  <si>
    <t xml:space="preserve">T-BE-301</t>
  </si>
  <si>
    <t xml:space="preserve">HU-BILL-01</t>
  </si>
  <si>
    <t xml:space="preserve">Billing</t>
  </si>
  <si>
    <t xml:space="preserve">Cliente HTTP del sandbox Flow y Adapter Mock</t>
  </si>
  <si>
    <t xml:space="preserve">T-BE-302</t>
  </si>
  <si>
    <t xml:space="preserve">Endpoint /billing/orders y webhooks de confirmación</t>
  </si>
  <si>
    <t xml:space="preserve">T-BE-303</t>
  </si>
  <si>
    <t xml:space="preserve">HU-BILL-02</t>
  </si>
  <si>
    <t xml:space="preserve">Generador XML/PDF de DTE con folios simulados</t>
  </si>
  <si>
    <t xml:space="preserve">T-BE-304</t>
  </si>
  <si>
    <t xml:space="preserve">HU-BILL-03</t>
  </si>
  <si>
    <t xml:space="preserve">Consulta de documentos por cliente de convenio</t>
  </si>
  <si>
    <t xml:space="preserve">T-FE-301</t>
  </si>
  <si>
    <t xml:space="preserve">Pasarela interna: redirección Flow / modal Mock</t>
  </si>
  <si>
    <t xml:space="preserve">T-FE-302</t>
  </si>
  <si>
    <t xml:space="preserve">Confirmación de pago y visualizador de DTE</t>
  </si>
  <si>
    <t xml:space="preserve">T-FE-303</t>
  </si>
  <si>
    <t xml:space="preserve">Portal de documentos para CLIENTE_CONVENIO</t>
  </si>
  <si>
    <t xml:space="preserve">T-FE-304</t>
  </si>
  <si>
    <t xml:space="preserve">HU-BILL-05</t>
  </si>
  <si>
    <t xml:space="preserve">Descarga de PDF y comprobantes</t>
  </si>
  <si>
    <t xml:space="preserve">T-FE-305</t>
  </si>
  <si>
    <t xml:space="preserve">HU-BILL-04</t>
  </si>
  <si>
    <t xml:space="preserve">Estados de conciliación y notificación de webhook</t>
  </si>
  <si>
    <t xml:space="preserve">T-SM-301</t>
  </si>
  <si>
    <t xml:space="preserve">Validar contingencia Sandbox Flow vs Adapter Mock</t>
  </si>
  <si>
    <t xml:space="preserve">T-SM-302</t>
  </si>
  <si>
    <t xml:space="preserve">Pruebas de simulación de pagos con el Product Owner</t>
  </si>
  <si>
    <t xml:space="preserve">T-SM-303</t>
  </si>
  <si>
    <t xml:space="preserve">Registrar impedimentos de dependencia SII</t>
  </si>
  <si>
    <t xml:space="preserve">T-SM-304</t>
  </si>
  <si>
    <t xml:space="preserve">Ceremonias del Sprint 3 e Impediment Log</t>
  </si>
  <si>
    <t xml:space="preserve">SUBTOTAL — TOTAL SPRINT 3 — FLOW Y DTE/SII</t>
  </si>
  <si>
    <t xml:space="preserve">MARCOM — Sprint 4 — Dashboard, venta de recuperados y cierre</t>
  </si>
  <si>
    <t xml:space="preserve">31 puntos  ·  5–16 oct 2026  ·  horas según planning 12.4  ·  corte 7 oct</t>
  </si>
  <si>
    <t xml:space="preserve">T-BE-401</t>
  </si>
  <si>
    <t xml:space="preserve">HU-DASH-01</t>
  </si>
  <si>
    <t xml:space="preserve">Analytics</t>
  </si>
  <si>
    <t xml:space="preserve">Vistas SQL en analytics_schema para KPIs</t>
  </si>
  <si>
    <t xml:space="preserve">T-BE-402</t>
  </si>
  <si>
    <t xml:space="preserve">HU-DASH-02</t>
  </si>
  <si>
    <t xml:space="preserve">Endpoints de métricas de facturación y stock</t>
  </si>
  <si>
    <t xml:space="preserve">T-BE-403</t>
  </si>
  <si>
    <t xml:space="preserve">HU-DASH-03</t>
  </si>
  <si>
    <t xml:space="preserve">Generador de reportes en Excel (openpyxl)</t>
  </si>
  <si>
    <t xml:space="preserve">T-BE-404</t>
  </si>
  <si>
    <t xml:space="preserve">HU-BILL-06</t>
  </si>
  <si>
    <t xml:space="preserve">Endpoint /inventory/sales y estado VENDIDO</t>
  </si>
  <si>
    <t xml:space="preserve">T-BE-405</t>
  </si>
  <si>
    <t xml:space="preserve">HU-STAB-02</t>
  </si>
  <si>
    <t xml:space="preserve">Infra</t>
  </si>
  <si>
    <t xml:space="preserve">docker-compose.yml, PostgreSQL y Swagger OpenAPI</t>
  </si>
  <si>
    <t xml:space="preserve">T-BE-406</t>
  </si>
  <si>
    <t xml:space="preserve">HU-STAB-01</t>
  </si>
  <si>
    <t xml:space="preserve">Corrección de bugs de integración y refactor de seguridad</t>
  </si>
  <si>
    <t xml:space="preserve">T-FE-401</t>
  </si>
  <si>
    <t xml:space="preserve">Dashboard React con gráficos (Recharts)</t>
  </si>
  <si>
    <t xml:space="preserve">T-FE-402</t>
  </si>
  <si>
    <t xml:space="preserve">Filtros globales por fecha y sucursal</t>
  </si>
  <si>
    <t xml:space="preserve">T-FE-403</t>
  </si>
  <si>
    <t xml:space="preserve">Vista de exportación e impresión de reportes</t>
  </si>
  <si>
    <t xml:space="preserve">T-FE-404</t>
  </si>
  <si>
    <t xml:space="preserve">Módulo UI de venta directa de activos y comprobante</t>
  </si>
  <si>
    <t xml:space="preserve">T-FE-405</t>
  </si>
  <si>
    <t xml:space="preserve">Pruebas UI E2E desde login hasta facturación</t>
  </si>
  <si>
    <t xml:space="preserve">T-FE-406</t>
  </si>
  <si>
    <t xml:space="preserve">QA/UI</t>
  </si>
  <si>
    <t xml:space="preserve">Estabilización visual y pulido responsive</t>
  </si>
  <si>
    <t xml:space="preserve">T-SM-401</t>
  </si>
  <si>
    <t xml:space="preserve">Auditar DoD en los microservicios cerrados</t>
  </si>
  <si>
    <t xml:space="preserve">T-SM-402</t>
  </si>
  <si>
    <t xml:space="preserve">Burndown final del proyecto</t>
  </si>
  <si>
    <t xml:space="preserve">T-SM-403</t>
  </si>
  <si>
    <t xml:space="preserve">Pruebas exploratorias E2E y aceptación con el PO</t>
  </si>
  <si>
    <t xml:space="preserve">T-SM-404</t>
  </si>
  <si>
    <t xml:space="preserve">Review y Retrospective de cierre</t>
  </si>
  <si>
    <t xml:space="preserve">SUBTOTAL — TOTAL SPRINT 4 — DASHBOARD, VENTA Y CIERRE</t>
  </si>
  <si>
    <t xml:space="preserve">MARCOM — Datos de Burndown (Sprints 1 a 4)</t>
  </si>
  <si>
    <t xml:space="preserve">Ideal según horas del planning de cada sprint. Real del Sprint 4 cortado al 7 oct (día 2).</t>
  </si>
  <si>
    <t xml:space="preserve">Día Hábil</t>
  </si>
  <si>
    <t xml:space="preserve">Sprint 1 Ideal</t>
  </si>
  <si>
    <t xml:space="preserve">Sprint 1 Real</t>
  </si>
  <si>
    <t xml:space="preserve">Sprint 2 Ideal</t>
  </si>
  <si>
    <t xml:space="preserve">Sprint 2 Real</t>
  </si>
  <si>
    <t xml:space="preserve">Sprint 3 Ideal</t>
  </si>
  <si>
    <t xml:space="preserve">Sprint 3 Real</t>
  </si>
  <si>
    <t xml:space="preserve">Sprint 4 Ideal</t>
  </si>
  <si>
    <t xml:space="preserve">Sprint 4 Real</t>
  </si>
  <si>
    <t xml:space="preserve">Día 0 (Inicio)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</si>
  <si>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</si>
  <si>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</si>
  <si>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</si>
  <si>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</si>
  <si>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</si>
  <si>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</si>
  <si>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</si>
  <si>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</si>
  <si>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</si>
  <si>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 (Cierre)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</si>
</sst>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2540"/>
      <name val="Calibri"/>
      <family val="0"/>
      <charset val="1"/>
    </font>
    <font>
      <i val="true"/>
      <sz val="11"/>
      <color rgb="FF1A8AB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1F7A4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0A2540"/>
      <name val="Calibri"/>
      <family val="0"/>
      <charset val="1"/>
    </font>
    <font>
      <sz val="9"/>
      <color rgb="FF0000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A2540"/>
        <bgColor rgb="FF222222"/>
      </patternFill>
    </fill>
    <fill>
      <patternFill patternType="solid">
        <fgColor rgb="FFE8EEF4"/>
        <bgColor rgb="FFD8F3E2"/>
      </patternFill>
    </fill>
    <fill>
      <patternFill patternType="solid">
        <fgColor rgb="FFD8F3E2"/>
        <bgColor rgb="FFE8EEF4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A2540"/>
        </patternFill>
      </fill>
    </dxf>
    <dxf>
      <fill>
        <patternFill patternType="solid">
          <fgColor rgb="FFE8EEF4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222222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8F3E2"/>
        </patternFill>
      </fill>
    </dxf>
    <dxf>
      <fill>
        <patternFill patternType="solid">
          <fgColor rgb="FF1F7A4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8AB0"/>
      <rgbColor rgb="FFD9D9D9"/>
      <rgbColor rgb="FF878787"/>
      <rgbColor rgb="FF9999FF"/>
      <rgbColor rgb="FF993366"/>
      <rgbColor rgb="FFFFFFCC"/>
      <rgbColor rgb="FFE8EE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CCFFFF"/>
      <rgbColor rgb="FFD8F3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000000"/>
                </a:solidFill>
                <a:latin typeface="Calibri"/>
              </a:rPr>
              <a:t>Burndown Sprint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Burndown_Data!$B$5</c:f>
              <c:strCache>
                <c:ptCount val="1"/>
                <c:pt idx="0">
                  <c:v>Sprint 1 Ideal</c:v>
                </c:pt>
              </c:strCache>
            </c:strRef>
          </c:tx>
          <c:spPr>
            <a:solidFill>
              <a:srgbClr val="1a8ab0"/>
            </a:solidFill>
            <a:ln w="47520">
              <a:solidFill>
                <a:srgbClr val="1a8a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Burndown_Data!$B$6:$B$16</c:f>
              <c:numCache>
                <c:formatCode>General</c:formatCode>
                <c:ptCount val="11"/>
                <c:pt idx="0">
                  <c:v>160</c:v>
                </c:pt>
                <c:pt idx="1">
                  <c:v>144</c:v>
                </c:pt>
                <c:pt idx="2">
                  <c:v>128</c:v>
                </c:pt>
                <c:pt idx="3">
                  <c:v>112</c:v>
                </c:pt>
                <c:pt idx="4">
                  <c:v>96</c:v>
                </c:pt>
                <c:pt idx="5">
                  <c:v>80</c:v>
                </c:pt>
                <c:pt idx="6">
                  <c:v>64</c:v>
                </c:pt>
                <c:pt idx="7">
                  <c:v>48</c:v>
                </c:pt>
                <c:pt idx="8">
                  <c:v>32</c:v>
                </c:pt>
                <c:pt idx="9">
                  <c:v>16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Burndown_Data!$C$5</c:f>
              <c:strCache>
                <c:ptCount val="1"/>
                <c:pt idx="0">
                  <c:v>Sprint 1 Real</c:v>
                </c:pt>
              </c:strCache>
            </c:strRef>
          </c:tx>
          <c:spPr>
            <a:solidFill>
              <a:srgbClr val="0a2540"/>
            </a:solidFill>
            <a:ln w="47520">
              <a:solidFill>
                <a:srgbClr val="0a25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Burndown_Data!$C$6:$C$16</c:f>
              <c:numCache>
                <c:formatCode>General</c:formatCode>
                <c:ptCount val="11"/>
                <c:pt idx="0">
                  <c:v>160</c:v>
                </c:pt>
                <c:pt idx="1">
                  <c:v>152</c:v>
                </c:pt>
                <c:pt idx="2">
                  <c:v>136</c:v>
                </c:pt>
                <c:pt idx="3">
                  <c:v>118</c:v>
                </c:pt>
                <c:pt idx="4">
                  <c:v>98</c:v>
                </c:pt>
                <c:pt idx="5">
                  <c:v>78</c:v>
                </c:pt>
                <c:pt idx="6">
                  <c:v>60</c:v>
                </c:pt>
                <c:pt idx="7">
                  <c:v>42</c:v>
                </c:pt>
                <c:pt idx="8">
                  <c:v>28</c:v>
                </c:pt>
                <c:pt idx="9">
                  <c:v>12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340401"/>
        <c:axId val="26593276"/>
      </c:lineChart>
      <c:catAx>
        <c:axId val="283404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93276"/>
        <c:crosses val="autoZero"/>
        <c:auto val="1"/>
        <c:lblAlgn val="ctr"/>
        <c:lblOffset val="100"/>
        <c:noMultiLvlLbl val="0"/>
      </c:catAx>
      <c:valAx>
        <c:axId val="265932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C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CL" sz="1000" spc="-1" strike="noStrike">
                    <a:solidFill>
                      <a:srgbClr val="000000"/>
                    </a:solidFill>
                    <a:latin typeface="Calibri"/>
                  </a:rPr>
                  <a:t>Horas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404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000000"/>
                </a:solidFill>
                <a:latin typeface="Calibri"/>
              </a:rPr>
              <a:t>Burndown Sprint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Burndown_Data!$D$5</c:f>
              <c:strCache>
                <c:ptCount val="1"/>
                <c:pt idx="0">
                  <c:v>Sprint 2 Ideal</c:v>
                </c:pt>
              </c:strCache>
            </c:strRef>
          </c:tx>
          <c:spPr>
            <a:solidFill>
              <a:srgbClr val="1a8ab0"/>
            </a:solidFill>
            <a:ln w="47520">
              <a:solidFill>
                <a:srgbClr val="1a8a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Burndown_Data!$D$6:$D$16</c:f>
              <c:numCache>
                <c:formatCode>General</c:formatCode>
                <c:ptCount val="11"/>
                <c:pt idx="0">
                  <c:v>154</c:v>
                </c:pt>
                <c:pt idx="1">
                  <c:v>138.6</c:v>
                </c:pt>
                <c:pt idx="2">
                  <c:v>123.2</c:v>
                </c:pt>
                <c:pt idx="3">
                  <c:v>107.8</c:v>
                </c:pt>
                <c:pt idx="4">
                  <c:v>92.4</c:v>
                </c:pt>
                <c:pt idx="5">
                  <c:v>77</c:v>
                </c:pt>
                <c:pt idx="6">
                  <c:v>61.6</c:v>
                </c:pt>
                <c:pt idx="7">
                  <c:v>46.2</c:v>
                </c:pt>
                <c:pt idx="8">
                  <c:v>30.8</c:v>
                </c:pt>
                <c:pt idx="9">
                  <c:v>15.4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Burndown_Data!$E$5</c:f>
              <c:strCache>
                <c:ptCount val="1"/>
                <c:pt idx="0">
                  <c:v>Sprint 2 Real</c:v>
                </c:pt>
              </c:strCache>
            </c:strRef>
          </c:tx>
          <c:spPr>
            <a:solidFill>
              <a:srgbClr val="0a2540"/>
            </a:solidFill>
            <a:ln w="47520">
              <a:solidFill>
                <a:srgbClr val="0a25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Burndown_Data!$E$6:$E$16</c:f>
              <c:numCache>
                <c:formatCode>General</c:formatCode>
                <c:ptCount val="11"/>
                <c:pt idx="0">
                  <c:v>160</c:v>
                </c:pt>
                <c:pt idx="1">
                  <c:v>150</c:v>
                </c:pt>
                <c:pt idx="2">
                  <c:v>134</c:v>
                </c:pt>
                <c:pt idx="3">
                  <c:v>116</c:v>
                </c:pt>
                <c:pt idx="4">
                  <c:v>95</c:v>
                </c:pt>
                <c:pt idx="5">
                  <c:v>76</c:v>
                </c:pt>
                <c:pt idx="6">
                  <c:v>58</c:v>
                </c:pt>
                <c:pt idx="7">
                  <c:v>40</c:v>
                </c:pt>
                <c:pt idx="8">
                  <c:v>25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518241"/>
        <c:axId val="31640079"/>
      </c:lineChart>
      <c:catAx>
        <c:axId val="1651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40079"/>
        <c:crosses val="autoZero"/>
        <c:auto val="1"/>
        <c:lblAlgn val="ctr"/>
        <c:lblOffset val="100"/>
        <c:noMultiLvlLbl val="0"/>
      </c:catAx>
      <c:valAx>
        <c:axId val="3164007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C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CL" sz="1000" spc="-1" strike="noStrike">
                    <a:solidFill>
                      <a:srgbClr val="000000"/>
                    </a:solidFill>
                    <a:latin typeface="Calibri"/>
                  </a:rPr>
                  <a:t>Horas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182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000000"/>
                </a:solidFill>
                <a:latin typeface="Calibri"/>
              </a:rPr>
              <a:t>Burndown Sprint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Burndown_Data!$F$5</c:f>
              <c:strCache>
                <c:ptCount val="1"/>
                <c:pt idx="0">
                  <c:v>Sprint 3 Ideal</c:v>
                </c:pt>
              </c:strCache>
            </c:strRef>
          </c:tx>
          <c:spPr>
            <a:solidFill>
              <a:srgbClr val="1a8ab0"/>
            </a:solidFill>
            <a:ln w="47520">
              <a:solidFill>
                <a:srgbClr val="1a8a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Burndown_Data!$F$6:$F$16</c:f>
              <c:numCache>
                <c:formatCode>General</c:formatCode>
                <c:ptCount val="11"/>
                <c:pt idx="0">
                  <c:v>142</c:v>
                </c:pt>
                <c:pt idx="1">
                  <c:v>127.8</c:v>
                </c:pt>
                <c:pt idx="2">
                  <c:v>113.6</c:v>
                </c:pt>
                <c:pt idx="3">
                  <c:v>99.4</c:v>
                </c:pt>
                <c:pt idx="4">
                  <c:v>85.2</c:v>
                </c:pt>
                <c:pt idx="5">
                  <c:v>71</c:v>
                </c:pt>
                <c:pt idx="6">
                  <c:v>56.8</c:v>
                </c:pt>
                <c:pt idx="7">
                  <c:v>42.6</c:v>
                </c:pt>
                <c:pt idx="8">
                  <c:v>28.4</c:v>
                </c:pt>
                <c:pt idx="9">
                  <c:v>14.2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Burndown_Data!$G$5</c:f>
              <c:strCache>
                <c:ptCount val="1"/>
                <c:pt idx="0">
                  <c:v>Sprint 3 Real</c:v>
                </c:pt>
              </c:strCache>
            </c:strRef>
          </c:tx>
          <c:spPr>
            <a:solidFill>
              <a:srgbClr val="0a2540"/>
            </a:solidFill>
            <a:ln w="47520">
              <a:solidFill>
                <a:srgbClr val="0a25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Burndown_Data!$G$6:$G$16</c:f>
              <c:numCache>
                <c:formatCode>General</c:formatCode>
                <c:ptCount val="11"/>
                <c:pt idx="0">
                  <c:v>160</c:v>
                </c:pt>
                <c:pt idx="1">
                  <c:v>154</c:v>
                </c:pt>
                <c:pt idx="2">
                  <c:v>138</c:v>
                </c:pt>
                <c:pt idx="3">
                  <c:v>120</c:v>
                </c:pt>
                <c:pt idx="4">
                  <c:v>100</c:v>
                </c:pt>
                <c:pt idx="5">
                  <c:v>82</c:v>
                </c:pt>
                <c:pt idx="6">
                  <c:v>62</c:v>
                </c:pt>
                <c:pt idx="7">
                  <c:v>45</c:v>
                </c:pt>
                <c:pt idx="8">
                  <c:v>28</c:v>
                </c:pt>
                <c:pt idx="9">
                  <c:v>12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479690"/>
        <c:axId val="34480438"/>
      </c:lineChart>
      <c:catAx>
        <c:axId val="254796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80438"/>
        <c:crosses val="autoZero"/>
        <c:auto val="1"/>
        <c:lblAlgn val="ctr"/>
        <c:lblOffset val="100"/>
        <c:noMultiLvlLbl val="0"/>
      </c:catAx>
      <c:valAx>
        <c:axId val="344804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C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CL" sz="1000" spc="-1" strike="noStrike">
                    <a:solidFill>
                      <a:srgbClr val="000000"/>
                    </a:solidFill>
                    <a:latin typeface="Calibri"/>
                  </a:rPr>
                  <a:t>Horas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796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000000"/>
                </a:solidFill>
                <a:latin typeface="Calibri"/>
              </a:rPr>
              <a:t>Burndown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Burndown_Data!$H$5</c:f>
              <c:strCache>
                <c:ptCount val="1"/>
                <c:pt idx="0">
                  <c:v>Sprint 4 Ideal</c:v>
                </c:pt>
              </c:strCache>
            </c:strRef>
          </c:tx>
          <c:spPr>
            <a:solidFill>
              <a:srgbClr val="1a8ab0"/>
            </a:solidFill>
            <a:ln w="47520">
              <a:solidFill>
                <a:srgbClr val="1a8ab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Burndown_Data!$H$6:$H$16</c:f>
              <c:numCache>
                <c:formatCode>General</c:formatCode>
                <c:ptCount val="11"/>
                <c:pt idx="0">
                  <c:v>170</c:v>
                </c:pt>
                <c:pt idx="1">
                  <c:v>153</c:v>
                </c:pt>
                <c:pt idx="2">
                  <c:v>136</c:v>
                </c:pt>
                <c:pt idx="3">
                  <c:v>119</c:v>
                </c:pt>
                <c:pt idx="4">
                  <c:v>102</c:v>
                </c:pt>
                <c:pt idx="5">
                  <c:v>85</c:v>
                </c:pt>
                <c:pt idx="6">
                  <c:v>68</c:v>
                </c:pt>
                <c:pt idx="7">
                  <c:v>51</c:v>
                </c:pt>
                <c:pt idx="8">
                  <c:v>34</c:v>
                </c:pt>
                <c:pt idx="9">
                  <c:v>17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Burndown_Data!$I$5</c:f>
              <c:strCache>
                <c:ptCount val="1"/>
                <c:pt idx="0">
                  <c:v>Sprint 4 Real</c:v>
                </c:pt>
              </c:strCache>
            </c:strRef>
          </c:tx>
          <c:spPr>
            <a:solidFill>
              <a:srgbClr val="0a2540"/>
            </a:solidFill>
            <a:ln w="47520">
              <a:solidFill>
                <a:srgbClr val="0a25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Burndown_Data!$A$6:$A$16</c:f>
              <c:strCache>
                <c:ptCount val="11"/>
                <c:pt idx="0">
                  <c:v>Día 0 (Inicio)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 (Cierre)</c:v>
                </c:pt>
              </c:strCache>
            </c:strRef>
          </c:cat>
          <c:val>
            <c:numRef>
              <c:f>Burndown_Data!$I$6:$I$16</c:f>
              <c:numCache>
                <c:formatCode>General</c:formatCode>
                <c:ptCount val="11"/>
                <c:pt idx="0">
                  <c:v>170</c:v>
                </c:pt>
                <c:pt idx="1">
                  <c:v>166</c:v>
                </c:pt>
                <c:pt idx="2">
                  <c:v>162</c:v>
                </c:pt>
                <c:pt idx="3">
                  <c:v>162</c:v>
                </c:pt>
                <c:pt idx="4">
                  <c:v>162</c:v>
                </c:pt>
                <c:pt idx="5">
                  <c:v>162</c:v>
                </c:pt>
                <c:pt idx="6">
                  <c:v>162</c:v>
                </c:pt>
                <c:pt idx="7">
                  <c:v>162</c:v>
                </c:pt>
                <c:pt idx="8">
                  <c:v>162</c:v>
                </c:pt>
                <c:pt idx="9">
                  <c:v>162</c:v>
                </c:pt>
                <c:pt idx="10">
                  <c:v>162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72998"/>
        <c:axId val="67554348"/>
      </c:lineChart>
      <c:catAx>
        <c:axId val="5872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54348"/>
        <c:crosses val="autoZero"/>
        <c:auto val="1"/>
        <c:lblAlgn val="ctr"/>
        <c:lblOffset val="100"/>
        <c:noMultiLvlLbl val="0"/>
      </c:catAx>
      <c:valAx>
        <c:axId val="675543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s-CL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s-CL" sz="1000" spc="-1" strike="noStrike">
                    <a:solidFill>
                      <a:srgbClr val="000000"/>
                    </a:solidFill>
                    <a:latin typeface="Calibri"/>
                  </a:rPr>
                  <a:t>Horas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2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3</xdr:col>
      <xdr:colOff>794880</xdr:colOff>
      <xdr:row>31</xdr:row>
      <xdr:rowOff>114840</xdr:rowOff>
    </xdr:to>
    <xdr:graphicFrame>
      <xdr:nvGraphicFramePr>
        <xdr:cNvPr id="0" name="Chart 1"/>
        <xdr:cNvGraphicFramePr/>
      </xdr:nvGraphicFramePr>
      <xdr:xfrm>
        <a:off x="0" y="3676680"/>
        <a:ext cx="431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8</xdr:col>
      <xdr:colOff>936000</xdr:colOff>
      <xdr:row>31</xdr:row>
      <xdr:rowOff>114840</xdr:rowOff>
    </xdr:to>
    <xdr:graphicFrame>
      <xdr:nvGraphicFramePr>
        <xdr:cNvPr id="1" name="Chart 2"/>
        <xdr:cNvGraphicFramePr/>
      </xdr:nvGraphicFramePr>
      <xdr:xfrm>
        <a:off x="5779800" y="3676680"/>
        <a:ext cx="431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3</xdr:col>
      <xdr:colOff>794880</xdr:colOff>
      <xdr:row>48</xdr:row>
      <xdr:rowOff>114840</xdr:rowOff>
    </xdr:to>
    <xdr:graphicFrame>
      <xdr:nvGraphicFramePr>
        <xdr:cNvPr id="2" name="Chart 3"/>
        <xdr:cNvGraphicFramePr/>
      </xdr:nvGraphicFramePr>
      <xdr:xfrm>
        <a:off x="0" y="6915240"/>
        <a:ext cx="431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8</xdr:col>
      <xdr:colOff>936000</xdr:colOff>
      <xdr:row>48</xdr:row>
      <xdr:rowOff>114840</xdr:rowOff>
    </xdr:to>
    <xdr:graphicFrame>
      <xdr:nvGraphicFramePr>
        <xdr:cNvPr id="3" name="Chart 4"/>
        <xdr:cNvGraphicFramePr/>
      </xdr:nvGraphicFramePr>
      <xdr:xfrm>
        <a:off x="5779800" y="6915240"/>
        <a:ext cx="4319280" cy="259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540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5" customFormat="false" ht="27.7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27.75" hidden="false" customHeight="true" outlineLevel="0" collapsed="false">
      <c r="A6" s="4" t="s">
        <v>8</v>
      </c>
      <c r="B6" s="5" t="s">
        <v>9</v>
      </c>
      <c r="C6" s="6" t="n">
        <v>26</v>
      </c>
      <c r="D6" s="7" t="n">
        <f aca="false">Sprint_1_Backlog!G22</f>
        <v>160</v>
      </c>
      <c r="E6" s="7" t="n">
        <f aca="false">Sprint_1_Backlog!H22</f>
        <v>160</v>
      </c>
      <c r="F6" s="8" t="str">
        <f aca="false">Sprint_1_Backlog!J22</f>
        <v>DONE</v>
      </c>
    </row>
    <row r="7" customFormat="false" ht="27.75" hidden="false" customHeight="true" outlineLevel="0" collapsed="false">
      <c r="A7" s="9" t="s">
        <v>10</v>
      </c>
      <c r="B7" s="10" t="s">
        <v>11</v>
      </c>
      <c r="C7" s="11" t="n">
        <v>26</v>
      </c>
      <c r="D7" s="12" t="n">
        <f aca="false">Sprint_2_Backlog!G20</f>
        <v>154</v>
      </c>
      <c r="E7" s="12" t="n">
        <f aca="false">Sprint_2_Backlog!H20</f>
        <v>154</v>
      </c>
      <c r="F7" s="8" t="str">
        <f aca="false">Sprint_2_Backlog!J20</f>
        <v>DONE</v>
      </c>
    </row>
    <row r="8" customFormat="false" ht="27.75" hidden="false" customHeight="true" outlineLevel="0" collapsed="false">
      <c r="A8" s="4" t="s">
        <v>12</v>
      </c>
      <c r="B8" s="5" t="s">
        <v>13</v>
      </c>
      <c r="C8" s="6" t="n">
        <v>26</v>
      </c>
      <c r="D8" s="7" t="n">
        <f aca="false">Sprint_3_Backlog!G19</f>
        <v>142</v>
      </c>
      <c r="E8" s="7" t="n">
        <f aca="false">Sprint_3_Backlog!H19</f>
        <v>142</v>
      </c>
      <c r="F8" s="8" t="str">
        <f aca="false">Sprint_3_Backlog!J19</f>
        <v>DONE</v>
      </c>
    </row>
    <row r="9" customFormat="false" ht="27.75" hidden="false" customHeight="true" outlineLevel="0" collapsed="false">
      <c r="A9" s="9" t="s">
        <v>14</v>
      </c>
      <c r="B9" s="10" t="s">
        <v>15</v>
      </c>
      <c r="C9" s="11" t="n">
        <v>31</v>
      </c>
      <c r="D9" s="12" t="n">
        <f aca="false">Sprint_4_Backlog!G22</f>
        <v>170</v>
      </c>
      <c r="E9" s="12" t="n">
        <f aca="false">Sprint_4_Backlog!H22</f>
        <v>8</v>
      </c>
      <c r="F9" s="8" t="str">
        <f aca="false">Sprint_4_Backlog!J22</f>
        <v>EN CURSO</v>
      </c>
    </row>
    <row r="10" customFormat="false" ht="15" hidden="false" customHeight="false" outlineLevel="0" collapsed="false">
      <c r="A10" s="13" t="s">
        <v>16</v>
      </c>
      <c r="B10" s="13" t="s">
        <v>17</v>
      </c>
      <c r="C10" s="14" t="n">
        <f aca="false">SUM(C6:C9)</f>
        <v>109</v>
      </c>
      <c r="D10" s="14" t="n">
        <f aca="false">SUM(D6:D9)</f>
        <v>626</v>
      </c>
      <c r="E10" s="14" t="n">
        <f aca="false">SUM(E6:E9)</f>
        <v>464</v>
      </c>
      <c r="F10" s="15" t="str">
        <f aca="false">IF(AND(D10=E10,C10=109),"100% DONE","EN CURSO")</f>
        <v>EN CURSO</v>
      </c>
    </row>
    <row r="12" customFormat="false" ht="15.75" hidden="false" customHeight="true" outlineLevel="0" collapsed="false">
      <c r="A12" s="16" t="s">
        <v>18</v>
      </c>
      <c r="B12" s="16"/>
      <c r="C12" s="16"/>
      <c r="D12" s="16"/>
      <c r="E12" s="16"/>
      <c r="F12" s="16"/>
    </row>
    <row r="13" customFormat="false" ht="15" hidden="false" customHeight="false" outlineLevel="0" collapsed="false">
      <c r="A13" s="3" t="s">
        <v>19</v>
      </c>
      <c r="B13" s="3" t="s">
        <v>8</v>
      </c>
      <c r="C13" s="3" t="s">
        <v>10</v>
      </c>
      <c r="D13" s="3" t="s">
        <v>12</v>
      </c>
      <c r="E13" s="3" t="s">
        <v>14</v>
      </c>
      <c r="F13" s="3" t="s">
        <v>20</v>
      </c>
    </row>
    <row r="14" customFormat="false" ht="15" hidden="false" customHeight="false" outlineLevel="0" collapsed="false">
      <c r="A14" s="5" t="s">
        <v>21</v>
      </c>
      <c r="B14" s="7" t="n">
        <f aca="false">SUMIF(Sprint_1_Backlog!E6:E21,A14,Sprint_1_Backlog!G6:G21)</f>
        <v>64</v>
      </c>
      <c r="C14" s="7" t="n">
        <f aca="false">SUMIF(Sprint_2_Backlog!E6:E19,A14,Sprint_2_Backlog!G6:G19)</f>
        <v>62</v>
      </c>
      <c r="D14" s="7" t="n">
        <f aca="false">SUMIF(Sprint_3_Backlog!E6:E18,A14,Sprint_3_Backlog!G6:G18)</f>
        <v>56</v>
      </c>
      <c r="E14" s="7" t="n">
        <f aca="false">SUMIF(Sprint_4_Backlog!E6:E21,A14,Sprint_4_Backlog!G6:G21)</f>
        <v>70</v>
      </c>
      <c r="F14" s="7" t="n">
        <f aca="false">SUM(B14:E14)</f>
        <v>252</v>
      </c>
    </row>
    <row r="15" customFormat="false" ht="15" hidden="false" customHeight="false" outlineLevel="0" collapsed="false">
      <c r="A15" s="10" t="s">
        <v>22</v>
      </c>
      <c r="B15" s="12" t="n">
        <f aca="false">SUMIF(Sprint_1_Backlog!E6:E21,A15,Sprint_1_Backlog!G6:G21)</f>
        <v>64</v>
      </c>
      <c r="C15" s="12" t="n">
        <f aca="false">SUMIF(Sprint_2_Backlog!E6:E19,A15,Sprint_2_Backlog!G6:G19)</f>
        <v>60</v>
      </c>
      <c r="D15" s="12" t="n">
        <f aca="false">SUMIF(Sprint_3_Backlog!E6:E18,A15,Sprint_3_Backlog!G6:G18)</f>
        <v>56</v>
      </c>
      <c r="E15" s="12" t="n">
        <f aca="false">SUMIF(Sprint_4_Backlog!E6:E21,A15,Sprint_4_Backlog!G6:G21)</f>
        <v>66</v>
      </c>
      <c r="F15" s="12" t="n">
        <f aca="false">SUM(B15:E15)</f>
        <v>246</v>
      </c>
    </row>
    <row r="16" customFormat="false" ht="15" hidden="false" customHeight="false" outlineLevel="0" collapsed="false">
      <c r="A16" s="5" t="s">
        <v>23</v>
      </c>
      <c r="B16" s="7" t="n">
        <f aca="false">SUMIF(Sprint_1_Backlog!E6:E21,A16,Sprint_1_Backlog!G6:G21)</f>
        <v>32</v>
      </c>
      <c r="C16" s="7" t="n">
        <f aca="false">SUMIF(Sprint_2_Backlog!E6:E19,A16,Sprint_2_Backlog!G6:G19)</f>
        <v>32</v>
      </c>
      <c r="D16" s="7" t="n">
        <f aca="false">SUMIF(Sprint_3_Backlog!E6:E18,A16,Sprint_3_Backlog!G6:G18)</f>
        <v>30</v>
      </c>
      <c r="E16" s="7" t="n">
        <f aca="false">SUMIF(Sprint_4_Backlog!E6:E21,A16,Sprint_4_Backlog!G6:G21)</f>
        <v>34</v>
      </c>
      <c r="F16" s="7" t="n">
        <f aca="false">SUM(B16:E16)</f>
        <v>128</v>
      </c>
    </row>
    <row r="17" customFormat="false" ht="15" hidden="false" customHeight="false" outlineLevel="0" collapsed="false">
      <c r="A17" s="15" t="s">
        <v>16</v>
      </c>
      <c r="B17" s="14" t="n">
        <f aca="false">SUM(B14:B16)</f>
        <v>160</v>
      </c>
      <c r="C17" s="14" t="n">
        <f aca="false">SUM(C14:C16)</f>
        <v>154</v>
      </c>
      <c r="D17" s="14" t="n">
        <f aca="false">SUM(D14:D16)</f>
        <v>142</v>
      </c>
      <c r="E17" s="14" t="n">
        <f aca="false">SUM(E14:E16)</f>
        <v>170</v>
      </c>
      <c r="F17" s="14" t="n">
        <f aca="false">SUM(F14:F16)</f>
        <v>626</v>
      </c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540"/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25.5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5</v>
      </c>
      <c r="H5" s="3" t="s">
        <v>6</v>
      </c>
      <c r="I5" s="3" t="s">
        <v>32</v>
      </c>
      <c r="J5" s="3" t="s">
        <v>7</v>
      </c>
    </row>
    <row r="6" customFormat="false" ht="19.5" hidden="false" customHeight="true" outlineLevel="0" collapsed="false">
      <c r="A6" s="4" t="s">
        <v>33</v>
      </c>
      <c r="B6" s="4" t="s">
        <v>34</v>
      </c>
      <c r="C6" s="4" t="s">
        <v>35</v>
      </c>
      <c r="D6" s="5" t="s">
        <v>36</v>
      </c>
      <c r="E6" s="5" t="s">
        <v>21</v>
      </c>
      <c r="F6" s="4" t="s">
        <v>37</v>
      </c>
      <c r="G6" s="6" t="n">
        <v>8</v>
      </c>
      <c r="H6" s="6" t="n">
        <v>8</v>
      </c>
      <c r="I6" s="7" t="n">
        <f aca="false">G6-H6</f>
        <v>0</v>
      </c>
      <c r="J6" s="8" t="str">
        <f aca="false">IF(I6&lt;=0,"DONE","EN CURSO")</f>
        <v>DONE</v>
      </c>
    </row>
    <row r="7" customFormat="false" ht="19.5" hidden="false" customHeight="true" outlineLevel="0" collapsed="false">
      <c r="A7" s="9" t="s">
        <v>38</v>
      </c>
      <c r="B7" s="9" t="s">
        <v>34</v>
      </c>
      <c r="C7" s="9" t="s">
        <v>35</v>
      </c>
      <c r="D7" s="10" t="s">
        <v>39</v>
      </c>
      <c r="E7" s="10" t="s">
        <v>21</v>
      </c>
      <c r="F7" s="9" t="s">
        <v>37</v>
      </c>
      <c r="G7" s="11" t="n">
        <v>10</v>
      </c>
      <c r="H7" s="11" t="n">
        <v>10</v>
      </c>
      <c r="I7" s="12" t="n">
        <f aca="false">G7-H7</f>
        <v>0</v>
      </c>
      <c r="J7" s="8" t="str">
        <f aca="false">IF(I7&lt;=0,"DONE","EN CURSO")</f>
        <v>DONE</v>
      </c>
    </row>
    <row r="8" customFormat="false" ht="19.5" hidden="false" customHeight="true" outlineLevel="0" collapsed="false">
      <c r="A8" s="4" t="s">
        <v>40</v>
      </c>
      <c r="B8" s="4" t="s">
        <v>41</v>
      </c>
      <c r="C8" s="4" t="s">
        <v>35</v>
      </c>
      <c r="D8" s="5" t="s">
        <v>42</v>
      </c>
      <c r="E8" s="5" t="s">
        <v>21</v>
      </c>
      <c r="F8" s="4" t="s">
        <v>37</v>
      </c>
      <c r="G8" s="6" t="n">
        <v>12</v>
      </c>
      <c r="H8" s="6" t="n">
        <v>12</v>
      </c>
      <c r="I8" s="7" t="n">
        <f aca="false">G8-H8</f>
        <v>0</v>
      </c>
      <c r="J8" s="8" t="str">
        <f aca="false">IF(I8&lt;=0,"DONE","EN CURSO")</f>
        <v>DONE</v>
      </c>
    </row>
    <row r="9" customFormat="false" ht="19.5" hidden="false" customHeight="true" outlineLevel="0" collapsed="false">
      <c r="A9" s="9" t="s">
        <v>43</v>
      </c>
      <c r="B9" s="9" t="s">
        <v>44</v>
      </c>
      <c r="C9" s="9" t="s">
        <v>45</v>
      </c>
      <c r="D9" s="10" t="s">
        <v>46</v>
      </c>
      <c r="E9" s="10" t="s">
        <v>21</v>
      </c>
      <c r="F9" s="9" t="s">
        <v>37</v>
      </c>
      <c r="G9" s="11" t="n">
        <v>12</v>
      </c>
      <c r="H9" s="11" t="n">
        <v>12</v>
      </c>
      <c r="I9" s="12" t="n">
        <f aca="false">G9-H9</f>
        <v>0</v>
      </c>
      <c r="J9" s="8" t="str">
        <f aca="false">IF(I9&lt;=0,"DONE","EN CURSO")</f>
        <v>DONE</v>
      </c>
    </row>
    <row r="10" customFormat="false" ht="19.5" hidden="false" customHeight="true" outlineLevel="0" collapsed="false">
      <c r="A10" s="4" t="s">
        <v>47</v>
      </c>
      <c r="B10" s="4" t="s">
        <v>48</v>
      </c>
      <c r="C10" s="4" t="s">
        <v>45</v>
      </c>
      <c r="D10" s="5" t="s">
        <v>49</v>
      </c>
      <c r="E10" s="5" t="s">
        <v>21</v>
      </c>
      <c r="F10" s="4" t="s">
        <v>37</v>
      </c>
      <c r="G10" s="6" t="n">
        <v>10</v>
      </c>
      <c r="H10" s="6" t="n">
        <v>10</v>
      </c>
      <c r="I10" s="7" t="n">
        <f aca="false">G10-H10</f>
        <v>0</v>
      </c>
      <c r="J10" s="8" t="str">
        <f aca="false">IF(I10&lt;=0,"DONE","EN CURSO")</f>
        <v>DONE</v>
      </c>
    </row>
    <row r="11" customFormat="false" ht="19.5" hidden="false" customHeight="true" outlineLevel="0" collapsed="false">
      <c r="A11" s="9" t="s">
        <v>50</v>
      </c>
      <c r="B11" s="9" t="s">
        <v>51</v>
      </c>
      <c r="C11" s="9" t="s">
        <v>45</v>
      </c>
      <c r="D11" s="10" t="s">
        <v>52</v>
      </c>
      <c r="E11" s="10" t="s">
        <v>21</v>
      </c>
      <c r="F11" s="9" t="s">
        <v>37</v>
      </c>
      <c r="G11" s="11" t="n">
        <v>12</v>
      </c>
      <c r="H11" s="11" t="n">
        <v>12</v>
      </c>
      <c r="I11" s="12" t="n">
        <f aca="false">G11-H11</f>
        <v>0</v>
      </c>
      <c r="J11" s="8" t="str">
        <f aca="false">IF(I11&lt;=0,"DONE","EN CURSO")</f>
        <v>DONE</v>
      </c>
    </row>
    <row r="12" customFormat="false" ht="19.5" hidden="false" customHeight="true" outlineLevel="0" collapsed="false">
      <c r="A12" s="4" t="s">
        <v>53</v>
      </c>
      <c r="B12" s="4" t="s">
        <v>34</v>
      </c>
      <c r="C12" s="4" t="s">
        <v>35</v>
      </c>
      <c r="D12" s="5" t="s">
        <v>54</v>
      </c>
      <c r="E12" s="5" t="s">
        <v>22</v>
      </c>
      <c r="F12" s="4" t="s">
        <v>55</v>
      </c>
      <c r="G12" s="6" t="n">
        <v>10</v>
      </c>
      <c r="H12" s="6" t="n">
        <v>10</v>
      </c>
      <c r="I12" s="7" t="n">
        <f aca="false">G12-H12</f>
        <v>0</v>
      </c>
      <c r="J12" s="8" t="str">
        <f aca="false">IF(I12&lt;=0,"DONE","EN CURSO")</f>
        <v>DONE</v>
      </c>
    </row>
    <row r="13" customFormat="false" ht="19.5" hidden="false" customHeight="true" outlineLevel="0" collapsed="false">
      <c r="A13" s="9" t="s">
        <v>56</v>
      </c>
      <c r="B13" s="9" t="s">
        <v>34</v>
      </c>
      <c r="C13" s="9" t="s">
        <v>35</v>
      </c>
      <c r="D13" s="10" t="s">
        <v>57</v>
      </c>
      <c r="E13" s="10" t="s">
        <v>22</v>
      </c>
      <c r="F13" s="9" t="s">
        <v>55</v>
      </c>
      <c r="G13" s="11" t="n">
        <v>10</v>
      </c>
      <c r="H13" s="11" t="n">
        <v>10</v>
      </c>
      <c r="I13" s="12" t="n">
        <f aca="false">G13-H13</f>
        <v>0</v>
      </c>
      <c r="J13" s="8" t="str">
        <f aca="false">IF(I13&lt;=0,"DONE","EN CURSO")</f>
        <v>DONE</v>
      </c>
    </row>
    <row r="14" customFormat="false" ht="19.5" hidden="false" customHeight="true" outlineLevel="0" collapsed="false">
      <c r="A14" s="4" t="s">
        <v>58</v>
      </c>
      <c r="B14" s="4" t="s">
        <v>44</v>
      </c>
      <c r="C14" s="4" t="s">
        <v>45</v>
      </c>
      <c r="D14" s="5" t="s">
        <v>59</v>
      </c>
      <c r="E14" s="5" t="s">
        <v>22</v>
      </c>
      <c r="F14" s="4" t="s">
        <v>55</v>
      </c>
      <c r="G14" s="6" t="n">
        <v>14</v>
      </c>
      <c r="H14" s="6" t="n">
        <v>14</v>
      </c>
      <c r="I14" s="7" t="n">
        <f aca="false">G14-H14</f>
        <v>0</v>
      </c>
      <c r="J14" s="8" t="str">
        <f aca="false">IF(I14&lt;=0,"DONE","EN CURSO")</f>
        <v>DONE</v>
      </c>
    </row>
    <row r="15" customFormat="false" ht="19.5" hidden="false" customHeight="true" outlineLevel="0" collapsed="false">
      <c r="A15" s="9" t="s">
        <v>60</v>
      </c>
      <c r="B15" s="9" t="s">
        <v>51</v>
      </c>
      <c r="C15" s="9" t="s">
        <v>45</v>
      </c>
      <c r="D15" s="10" t="s">
        <v>61</v>
      </c>
      <c r="E15" s="10" t="s">
        <v>22</v>
      </c>
      <c r="F15" s="9" t="s">
        <v>55</v>
      </c>
      <c r="G15" s="11" t="n">
        <v>10</v>
      </c>
      <c r="H15" s="11" t="n">
        <v>10</v>
      </c>
      <c r="I15" s="12" t="n">
        <f aca="false">G15-H15</f>
        <v>0</v>
      </c>
      <c r="J15" s="8" t="str">
        <f aca="false">IF(I15&lt;=0,"DONE","EN CURSO")</f>
        <v>DONE</v>
      </c>
    </row>
    <row r="16" customFormat="false" ht="19.5" hidden="false" customHeight="true" outlineLevel="0" collapsed="false">
      <c r="A16" s="4" t="s">
        <v>62</v>
      </c>
      <c r="B16" s="4" t="s">
        <v>63</v>
      </c>
      <c r="C16" s="4" t="s">
        <v>64</v>
      </c>
      <c r="D16" s="5" t="s">
        <v>65</v>
      </c>
      <c r="E16" s="5" t="s">
        <v>22</v>
      </c>
      <c r="F16" s="4" t="s">
        <v>55</v>
      </c>
      <c r="G16" s="6" t="n">
        <v>12</v>
      </c>
      <c r="H16" s="6" t="n">
        <v>12</v>
      </c>
      <c r="I16" s="7" t="n">
        <f aca="false">G16-H16</f>
        <v>0</v>
      </c>
      <c r="J16" s="8" t="str">
        <f aca="false">IF(I16&lt;=0,"DONE","EN CURSO")</f>
        <v>DONE</v>
      </c>
    </row>
    <row r="17" customFormat="false" ht="19.5" hidden="false" customHeight="true" outlineLevel="0" collapsed="false">
      <c r="A17" s="9" t="s">
        <v>66</v>
      </c>
      <c r="B17" s="9" t="s">
        <v>63</v>
      </c>
      <c r="C17" s="9" t="s">
        <v>64</v>
      </c>
      <c r="D17" s="10" t="s">
        <v>67</v>
      </c>
      <c r="E17" s="10" t="s">
        <v>22</v>
      </c>
      <c r="F17" s="9" t="s">
        <v>55</v>
      </c>
      <c r="G17" s="11" t="n">
        <v>8</v>
      </c>
      <c r="H17" s="11" t="n">
        <v>8</v>
      </c>
      <c r="I17" s="12" t="n">
        <f aca="false">G17-H17</f>
        <v>0</v>
      </c>
      <c r="J17" s="8" t="str">
        <f aca="false">IF(I17&lt;=0,"DONE","EN CURSO")</f>
        <v>DONE</v>
      </c>
    </row>
    <row r="18" customFormat="false" ht="19.5" hidden="false" customHeight="true" outlineLevel="0" collapsed="false">
      <c r="A18" s="4" t="s">
        <v>68</v>
      </c>
      <c r="B18" s="4" t="s">
        <v>69</v>
      </c>
      <c r="C18" s="4" t="s">
        <v>70</v>
      </c>
      <c r="D18" s="5" t="s">
        <v>71</v>
      </c>
      <c r="E18" s="5" t="s">
        <v>23</v>
      </c>
      <c r="F18" s="4" t="s">
        <v>72</v>
      </c>
      <c r="G18" s="6" t="n">
        <v>4</v>
      </c>
      <c r="H18" s="6" t="n">
        <v>4</v>
      </c>
      <c r="I18" s="7" t="n">
        <f aca="false">G18-H18</f>
        <v>0</v>
      </c>
      <c r="J18" s="8" t="str">
        <f aca="false">IF(I18&lt;=0,"DONE","EN CURSO")</f>
        <v>DONE</v>
      </c>
    </row>
    <row r="19" customFormat="false" ht="19.5" hidden="false" customHeight="true" outlineLevel="0" collapsed="false">
      <c r="A19" s="9" t="s">
        <v>73</v>
      </c>
      <c r="B19" s="9" t="s">
        <v>69</v>
      </c>
      <c r="C19" s="9" t="s">
        <v>70</v>
      </c>
      <c r="D19" s="10" t="s">
        <v>74</v>
      </c>
      <c r="E19" s="10" t="s">
        <v>23</v>
      </c>
      <c r="F19" s="9" t="s">
        <v>72</v>
      </c>
      <c r="G19" s="11" t="n">
        <v>6</v>
      </c>
      <c r="H19" s="11" t="n">
        <v>6</v>
      </c>
      <c r="I19" s="12" t="n">
        <f aca="false">G19-H19</f>
        <v>0</v>
      </c>
      <c r="J19" s="8" t="str">
        <f aca="false">IF(I19&lt;=0,"DONE","EN CURSO")</f>
        <v>DONE</v>
      </c>
    </row>
    <row r="20" customFormat="false" ht="19.5" hidden="false" customHeight="true" outlineLevel="0" collapsed="false">
      <c r="A20" s="4" t="s">
        <v>75</v>
      </c>
      <c r="B20" s="4" t="s">
        <v>69</v>
      </c>
      <c r="C20" s="4" t="s">
        <v>70</v>
      </c>
      <c r="D20" s="5" t="s">
        <v>76</v>
      </c>
      <c r="E20" s="5" t="s">
        <v>23</v>
      </c>
      <c r="F20" s="4" t="s">
        <v>72</v>
      </c>
      <c r="G20" s="6" t="n">
        <v>10</v>
      </c>
      <c r="H20" s="6" t="n">
        <v>10</v>
      </c>
      <c r="I20" s="7" t="n">
        <f aca="false">G20-H20</f>
        <v>0</v>
      </c>
      <c r="J20" s="8" t="str">
        <f aca="false">IF(I20&lt;=0,"DONE","EN CURSO")</f>
        <v>DONE</v>
      </c>
    </row>
    <row r="21" customFormat="false" ht="19.5" hidden="false" customHeight="true" outlineLevel="0" collapsed="false">
      <c r="A21" s="9" t="s">
        <v>77</v>
      </c>
      <c r="B21" s="9" t="s">
        <v>69</v>
      </c>
      <c r="C21" s="9" t="s">
        <v>78</v>
      </c>
      <c r="D21" s="10" t="s">
        <v>79</v>
      </c>
      <c r="E21" s="10" t="s">
        <v>23</v>
      </c>
      <c r="F21" s="9" t="s">
        <v>78</v>
      </c>
      <c r="G21" s="11" t="n">
        <v>12</v>
      </c>
      <c r="H21" s="11" t="n">
        <v>12</v>
      </c>
      <c r="I21" s="12" t="n">
        <f aca="false">G21-H21</f>
        <v>0</v>
      </c>
      <c r="J21" s="8" t="str">
        <f aca="false">IF(I21&lt;=0,"DONE","EN CURSO")</f>
        <v>DONE</v>
      </c>
    </row>
    <row r="22" customFormat="false" ht="15" hidden="false" customHeight="false" outlineLevel="0" collapsed="false">
      <c r="A22" s="17" t="s">
        <v>80</v>
      </c>
      <c r="B22" s="17"/>
      <c r="C22" s="17"/>
      <c r="D22" s="17"/>
      <c r="E22" s="17"/>
      <c r="F22" s="17"/>
      <c r="G22" s="14" t="n">
        <f aca="false">SUM(G6:G21)</f>
        <v>160</v>
      </c>
      <c r="H22" s="14" t="n">
        <f aca="false">SUM(H6:H21)</f>
        <v>160</v>
      </c>
      <c r="I22" s="14" t="n">
        <f aca="false">SUM(I6:I21)</f>
        <v>0</v>
      </c>
      <c r="J22" s="15" t="str">
        <f aca="false">IF(AND(I22=0,G22=H22),"DONE","EN CURSO")</f>
        <v>DONE</v>
      </c>
    </row>
  </sheetData>
  <autoFilter ref="A5:J21"/>
  <mergeCells count="3">
    <mergeCell ref="A1:J1"/>
    <mergeCell ref="A2:J2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540"/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25.5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5</v>
      </c>
      <c r="H5" s="3" t="s">
        <v>6</v>
      </c>
      <c r="I5" s="3" t="s">
        <v>32</v>
      </c>
      <c r="J5" s="3" t="s">
        <v>7</v>
      </c>
    </row>
    <row r="6" customFormat="false" ht="19.5" hidden="false" customHeight="true" outlineLevel="0" collapsed="false">
      <c r="A6" s="4" t="s">
        <v>83</v>
      </c>
      <c r="B6" s="4" t="s">
        <v>84</v>
      </c>
      <c r="C6" s="4" t="s">
        <v>64</v>
      </c>
      <c r="D6" s="5" t="s">
        <v>85</v>
      </c>
      <c r="E6" s="5" t="s">
        <v>21</v>
      </c>
      <c r="F6" s="4" t="s">
        <v>37</v>
      </c>
      <c r="G6" s="18" t="n">
        <v>12</v>
      </c>
      <c r="H6" s="18" t="n">
        <v>12</v>
      </c>
      <c r="I6" s="19" t="n">
        <f aca="false">G6-H6</f>
        <v>0</v>
      </c>
      <c r="J6" s="20" t="str">
        <f aca="false">IF(I6&lt;=0,"DONE","EN CURSO")</f>
        <v>DONE</v>
      </c>
    </row>
    <row r="7" customFormat="false" ht="19.5" hidden="false" customHeight="true" outlineLevel="0" collapsed="false">
      <c r="A7" s="4" t="s">
        <v>86</v>
      </c>
      <c r="B7" s="4" t="s">
        <v>84</v>
      </c>
      <c r="C7" s="4" t="s">
        <v>64</v>
      </c>
      <c r="D7" s="5" t="s">
        <v>87</v>
      </c>
      <c r="E7" s="5" t="s">
        <v>21</v>
      </c>
      <c r="F7" s="4" t="s">
        <v>37</v>
      </c>
      <c r="G7" s="18" t="n">
        <v>14</v>
      </c>
      <c r="H7" s="18" t="n">
        <v>14</v>
      </c>
      <c r="I7" s="19" t="n">
        <f aca="false">G7-H7</f>
        <v>0</v>
      </c>
      <c r="J7" s="20" t="str">
        <f aca="false">IF(I7&lt;=0,"DONE","EN CURSO")</f>
        <v>DONE</v>
      </c>
    </row>
    <row r="8" customFormat="false" ht="19.5" hidden="false" customHeight="true" outlineLevel="0" collapsed="false">
      <c r="A8" s="4" t="s">
        <v>88</v>
      </c>
      <c r="B8" s="4" t="s">
        <v>89</v>
      </c>
      <c r="C8" s="4" t="s">
        <v>64</v>
      </c>
      <c r="D8" s="5" t="s">
        <v>90</v>
      </c>
      <c r="E8" s="5" t="s">
        <v>21</v>
      </c>
      <c r="F8" s="4" t="s">
        <v>37</v>
      </c>
      <c r="G8" s="18" t="n">
        <v>10</v>
      </c>
      <c r="H8" s="18" t="n">
        <v>10</v>
      </c>
      <c r="I8" s="19" t="n">
        <f aca="false">G8-H8</f>
        <v>0</v>
      </c>
      <c r="J8" s="20" t="str">
        <f aca="false">IF(I8&lt;=0,"DONE","EN CURSO")</f>
        <v>DONE</v>
      </c>
    </row>
    <row r="9" customFormat="false" ht="19.5" hidden="false" customHeight="true" outlineLevel="0" collapsed="false">
      <c r="A9" s="4" t="s">
        <v>91</v>
      </c>
      <c r="B9" s="4" t="s">
        <v>92</v>
      </c>
      <c r="C9" s="4" t="s">
        <v>45</v>
      </c>
      <c r="D9" s="5" t="s">
        <v>93</v>
      </c>
      <c r="E9" s="5" t="s">
        <v>21</v>
      </c>
      <c r="F9" s="4" t="s">
        <v>37</v>
      </c>
      <c r="G9" s="18" t="n">
        <v>14</v>
      </c>
      <c r="H9" s="18" t="n">
        <v>14</v>
      </c>
      <c r="I9" s="19" t="n">
        <f aca="false">G9-H9</f>
        <v>0</v>
      </c>
      <c r="J9" s="20" t="str">
        <f aca="false">IF(I9&lt;=0,"DONE","EN CURSO")</f>
        <v>DONE</v>
      </c>
    </row>
    <row r="10" customFormat="false" ht="19.5" hidden="false" customHeight="true" outlineLevel="0" collapsed="false">
      <c r="A10" s="4" t="s">
        <v>94</v>
      </c>
      <c r="B10" s="4" t="s">
        <v>95</v>
      </c>
      <c r="C10" s="4" t="s">
        <v>45</v>
      </c>
      <c r="D10" s="5" t="s">
        <v>96</v>
      </c>
      <c r="E10" s="5" t="s">
        <v>21</v>
      </c>
      <c r="F10" s="4" t="s">
        <v>37</v>
      </c>
      <c r="G10" s="18" t="n">
        <v>12</v>
      </c>
      <c r="H10" s="18" t="n">
        <v>12</v>
      </c>
      <c r="I10" s="19" t="n">
        <f aca="false">G10-H10</f>
        <v>0</v>
      </c>
      <c r="J10" s="20" t="str">
        <f aca="false">IF(I10&lt;=0,"DONE","EN CURSO")</f>
        <v>DONE</v>
      </c>
    </row>
    <row r="11" customFormat="false" ht="19.5" hidden="false" customHeight="true" outlineLevel="0" collapsed="false">
      <c r="A11" s="4" t="s">
        <v>97</v>
      </c>
      <c r="B11" s="4" t="s">
        <v>84</v>
      </c>
      <c r="C11" s="4" t="s">
        <v>64</v>
      </c>
      <c r="D11" s="5" t="s">
        <v>98</v>
      </c>
      <c r="E11" s="5" t="s">
        <v>22</v>
      </c>
      <c r="F11" s="4" t="s">
        <v>55</v>
      </c>
      <c r="G11" s="18" t="n">
        <v>14</v>
      </c>
      <c r="H11" s="18" t="n">
        <v>14</v>
      </c>
      <c r="I11" s="19" t="n">
        <f aca="false">G11-H11</f>
        <v>0</v>
      </c>
      <c r="J11" s="20" t="str">
        <f aca="false">IF(I11&lt;=0,"DONE","EN CURSO")</f>
        <v>DONE</v>
      </c>
    </row>
    <row r="12" customFormat="false" ht="19.5" hidden="false" customHeight="true" outlineLevel="0" collapsed="false">
      <c r="A12" s="4" t="s">
        <v>99</v>
      </c>
      <c r="B12" s="4" t="s">
        <v>84</v>
      </c>
      <c r="C12" s="4" t="s">
        <v>64</v>
      </c>
      <c r="D12" s="5" t="s">
        <v>100</v>
      </c>
      <c r="E12" s="5" t="s">
        <v>22</v>
      </c>
      <c r="F12" s="4" t="s">
        <v>55</v>
      </c>
      <c r="G12" s="18" t="n">
        <v>12</v>
      </c>
      <c r="H12" s="18" t="n">
        <v>12</v>
      </c>
      <c r="I12" s="19" t="n">
        <f aca="false">G12-H12</f>
        <v>0</v>
      </c>
      <c r="J12" s="20" t="str">
        <f aca="false">IF(I12&lt;=0,"DONE","EN CURSO")</f>
        <v>DONE</v>
      </c>
    </row>
    <row r="13" customFormat="false" ht="19.5" hidden="false" customHeight="true" outlineLevel="0" collapsed="false">
      <c r="A13" s="4" t="s">
        <v>101</v>
      </c>
      <c r="B13" s="4" t="s">
        <v>84</v>
      </c>
      <c r="C13" s="4" t="s">
        <v>64</v>
      </c>
      <c r="D13" s="5" t="s">
        <v>102</v>
      </c>
      <c r="E13" s="5" t="s">
        <v>22</v>
      </c>
      <c r="F13" s="4" t="s">
        <v>55</v>
      </c>
      <c r="G13" s="18" t="n">
        <v>12</v>
      </c>
      <c r="H13" s="18" t="n">
        <v>12</v>
      </c>
      <c r="I13" s="19" t="n">
        <f aca="false">G13-H13</f>
        <v>0</v>
      </c>
      <c r="J13" s="20" t="str">
        <f aca="false">IF(I13&lt;=0,"DONE","EN CURSO")</f>
        <v>DONE</v>
      </c>
    </row>
    <row r="14" customFormat="false" ht="19.5" hidden="false" customHeight="true" outlineLevel="0" collapsed="false">
      <c r="A14" s="4" t="s">
        <v>103</v>
      </c>
      <c r="B14" s="4" t="s">
        <v>89</v>
      </c>
      <c r="C14" s="4" t="s">
        <v>64</v>
      </c>
      <c r="D14" s="5" t="s">
        <v>104</v>
      </c>
      <c r="E14" s="5" t="s">
        <v>22</v>
      </c>
      <c r="F14" s="4" t="s">
        <v>55</v>
      </c>
      <c r="G14" s="18" t="n">
        <v>10</v>
      </c>
      <c r="H14" s="18" t="n">
        <v>10</v>
      </c>
      <c r="I14" s="19" t="n">
        <f aca="false">G14-H14</f>
        <v>0</v>
      </c>
      <c r="J14" s="20" t="str">
        <f aca="false">IF(I14&lt;=0,"DONE","EN CURSO")</f>
        <v>DONE</v>
      </c>
    </row>
    <row r="15" customFormat="false" ht="19.5" hidden="false" customHeight="true" outlineLevel="0" collapsed="false">
      <c r="A15" s="4" t="s">
        <v>105</v>
      </c>
      <c r="B15" s="4" t="s">
        <v>92</v>
      </c>
      <c r="C15" s="4" t="s">
        <v>45</v>
      </c>
      <c r="D15" s="5" t="s">
        <v>106</v>
      </c>
      <c r="E15" s="5" t="s">
        <v>22</v>
      </c>
      <c r="F15" s="4" t="s">
        <v>55</v>
      </c>
      <c r="G15" s="18" t="n">
        <v>12</v>
      </c>
      <c r="H15" s="18" t="n">
        <v>12</v>
      </c>
      <c r="I15" s="19" t="n">
        <f aca="false">G15-H15</f>
        <v>0</v>
      </c>
      <c r="J15" s="20" t="str">
        <f aca="false">IF(I15&lt;=0,"DONE","EN CURSO")</f>
        <v>DONE</v>
      </c>
    </row>
    <row r="16" customFormat="false" ht="19.5" hidden="false" customHeight="true" outlineLevel="0" collapsed="false">
      <c r="A16" s="4" t="s">
        <v>107</v>
      </c>
      <c r="B16" s="4" t="s">
        <v>69</v>
      </c>
      <c r="C16" s="4" t="s">
        <v>70</v>
      </c>
      <c r="D16" s="5" t="s">
        <v>108</v>
      </c>
      <c r="E16" s="5" t="s">
        <v>23</v>
      </c>
      <c r="F16" s="4" t="s">
        <v>72</v>
      </c>
      <c r="G16" s="18" t="n">
        <v>6</v>
      </c>
      <c r="H16" s="18" t="n">
        <v>6</v>
      </c>
      <c r="I16" s="19" t="n">
        <f aca="false">G16-H16</f>
        <v>0</v>
      </c>
      <c r="J16" s="20" t="str">
        <f aca="false">IF(I16&lt;=0,"DONE","EN CURSO")</f>
        <v>DONE</v>
      </c>
    </row>
    <row r="17" customFormat="false" ht="19.5" hidden="false" customHeight="true" outlineLevel="0" collapsed="false">
      <c r="A17" s="4" t="s">
        <v>109</v>
      </c>
      <c r="B17" s="4" t="s">
        <v>69</v>
      </c>
      <c r="C17" s="4" t="s">
        <v>70</v>
      </c>
      <c r="D17" s="5" t="s">
        <v>110</v>
      </c>
      <c r="E17" s="5" t="s">
        <v>23</v>
      </c>
      <c r="F17" s="4" t="s">
        <v>72</v>
      </c>
      <c r="G17" s="18" t="n">
        <v>8</v>
      </c>
      <c r="H17" s="18" t="n">
        <v>8</v>
      </c>
      <c r="I17" s="19" t="n">
        <f aca="false">G17-H17</f>
        <v>0</v>
      </c>
      <c r="J17" s="20" t="str">
        <f aca="false">IF(I17&lt;=0,"DONE","EN CURSO")</f>
        <v>DONE</v>
      </c>
    </row>
    <row r="18" customFormat="false" ht="19.5" hidden="false" customHeight="true" outlineLevel="0" collapsed="false">
      <c r="A18" s="4" t="s">
        <v>111</v>
      </c>
      <c r="B18" s="4" t="s">
        <v>69</v>
      </c>
      <c r="C18" s="4" t="s">
        <v>78</v>
      </c>
      <c r="D18" s="5" t="s">
        <v>112</v>
      </c>
      <c r="E18" s="5" t="s">
        <v>23</v>
      </c>
      <c r="F18" s="4" t="s">
        <v>78</v>
      </c>
      <c r="G18" s="18" t="n">
        <v>14</v>
      </c>
      <c r="H18" s="18" t="n">
        <v>14</v>
      </c>
      <c r="I18" s="19" t="n">
        <f aca="false">G18-H18</f>
        <v>0</v>
      </c>
      <c r="J18" s="20" t="str">
        <f aca="false">IF(I18&lt;=0,"DONE","EN CURSO")</f>
        <v>DONE</v>
      </c>
    </row>
    <row r="19" customFormat="false" ht="15" hidden="false" customHeight="false" outlineLevel="0" collapsed="false">
      <c r="A19" s="4" t="s">
        <v>113</v>
      </c>
      <c r="B19" s="4" t="s">
        <v>69</v>
      </c>
      <c r="C19" s="4" t="s">
        <v>70</v>
      </c>
      <c r="D19" s="5" t="s">
        <v>114</v>
      </c>
      <c r="E19" s="5" t="s">
        <v>23</v>
      </c>
      <c r="F19" s="4" t="s">
        <v>72</v>
      </c>
      <c r="G19" s="18" t="n">
        <v>4</v>
      </c>
      <c r="H19" s="18" t="n">
        <v>4</v>
      </c>
      <c r="I19" s="19" t="n">
        <f aca="false">G19-H19</f>
        <v>0</v>
      </c>
      <c r="J19" s="20" t="str">
        <f aca="false">IF(I19&lt;=0,"DONE","EN CURSO")</f>
        <v>DONE</v>
      </c>
    </row>
    <row r="20" customFormat="false" ht="15" hidden="false" customHeight="true" outlineLevel="0" collapsed="false">
      <c r="A20" s="3" t="s">
        <v>115</v>
      </c>
      <c r="B20" s="3"/>
      <c r="C20" s="3"/>
      <c r="D20" s="3"/>
      <c r="E20" s="3"/>
      <c r="F20" s="3"/>
      <c r="G20" s="21" t="n">
        <f aca="false">SUM(G6:G19)</f>
        <v>154</v>
      </c>
      <c r="H20" s="21" t="n">
        <f aca="false">SUM(H6:H19)</f>
        <v>154</v>
      </c>
      <c r="I20" s="21" t="n">
        <f aca="false">SUM(I6:I19)</f>
        <v>0</v>
      </c>
      <c r="J20" s="21" t="str">
        <f aca="false">IF(AND(I20=0,G20=H20),"DONE","EN CURSO")</f>
        <v>DONE</v>
      </c>
    </row>
  </sheetData>
  <autoFilter ref="A5:J18"/>
  <mergeCells count="3">
    <mergeCell ref="A1:J1"/>
    <mergeCell ref="A2:J2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540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117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25.5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5</v>
      </c>
      <c r="H5" s="3" t="s">
        <v>6</v>
      </c>
      <c r="I5" s="3" t="s">
        <v>32</v>
      </c>
      <c r="J5" s="3" t="s">
        <v>7</v>
      </c>
    </row>
    <row r="6" customFormat="false" ht="19.5" hidden="false" customHeight="true" outlineLevel="0" collapsed="false">
      <c r="A6" s="4" t="s">
        <v>118</v>
      </c>
      <c r="B6" s="4" t="s">
        <v>119</v>
      </c>
      <c r="C6" s="4" t="s">
        <v>120</v>
      </c>
      <c r="D6" s="5" t="s">
        <v>121</v>
      </c>
      <c r="E6" s="5" t="s">
        <v>21</v>
      </c>
      <c r="F6" s="4" t="s">
        <v>37</v>
      </c>
      <c r="G6" s="18" t="n">
        <v>16</v>
      </c>
      <c r="H6" s="18" t="n">
        <v>16</v>
      </c>
      <c r="I6" s="19" t="n">
        <f aca="false">G6-H6</f>
        <v>0</v>
      </c>
      <c r="J6" s="20" t="str">
        <f aca="false">IF(I6&lt;=0,"DONE","EN CURSO")</f>
        <v>DONE</v>
      </c>
    </row>
    <row r="7" customFormat="false" ht="19.5" hidden="false" customHeight="true" outlineLevel="0" collapsed="false">
      <c r="A7" s="4" t="s">
        <v>122</v>
      </c>
      <c r="B7" s="4" t="s">
        <v>119</v>
      </c>
      <c r="C7" s="4" t="s">
        <v>120</v>
      </c>
      <c r="D7" s="5" t="s">
        <v>123</v>
      </c>
      <c r="E7" s="5" t="s">
        <v>21</v>
      </c>
      <c r="F7" s="4" t="s">
        <v>37</v>
      </c>
      <c r="G7" s="18" t="n">
        <v>14</v>
      </c>
      <c r="H7" s="18" t="n">
        <v>14</v>
      </c>
      <c r="I7" s="19" t="n">
        <f aca="false">G7-H7</f>
        <v>0</v>
      </c>
      <c r="J7" s="20" t="str">
        <f aca="false">IF(I7&lt;=0,"DONE","EN CURSO")</f>
        <v>DONE</v>
      </c>
    </row>
    <row r="8" customFormat="false" ht="19.5" hidden="false" customHeight="true" outlineLevel="0" collapsed="false">
      <c r="A8" s="4" t="s">
        <v>124</v>
      </c>
      <c r="B8" s="4" t="s">
        <v>125</v>
      </c>
      <c r="C8" s="4" t="s">
        <v>120</v>
      </c>
      <c r="D8" s="5" t="s">
        <v>126</v>
      </c>
      <c r="E8" s="5" t="s">
        <v>21</v>
      </c>
      <c r="F8" s="4" t="s">
        <v>37</v>
      </c>
      <c r="G8" s="18" t="n">
        <v>16</v>
      </c>
      <c r="H8" s="18" t="n">
        <v>16</v>
      </c>
      <c r="I8" s="19" t="n">
        <f aca="false">G8-H8</f>
        <v>0</v>
      </c>
      <c r="J8" s="20" t="str">
        <f aca="false">IF(I8&lt;=0,"DONE","EN CURSO")</f>
        <v>DONE</v>
      </c>
    </row>
    <row r="9" customFormat="false" ht="19.5" hidden="false" customHeight="true" outlineLevel="0" collapsed="false">
      <c r="A9" s="4" t="s">
        <v>127</v>
      </c>
      <c r="B9" s="4" t="s">
        <v>128</v>
      </c>
      <c r="C9" s="4" t="s">
        <v>120</v>
      </c>
      <c r="D9" s="5" t="s">
        <v>129</v>
      </c>
      <c r="E9" s="5" t="s">
        <v>21</v>
      </c>
      <c r="F9" s="4" t="s">
        <v>37</v>
      </c>
      <c r="G9" s="18" t="n">
        <v>10</v>
      </c>
      <c r="H9" s="18" t="n">
        <v>10</v>
      </c>
      <c r="I9" s="19" t="n">
        <f aca="false">G9-H9</f>
        <v>0</v>
      </c>
      <c r="J9" s="20" t="str">
        <f aca="false">IF(I9&lt;=0,"DONE","EN CURSO")</f>
        <v>DONE</v>
      </c>
    </row>
    <row r="10" customFormat="false" ht="19.5" hidden="false" customHeight="true" outlineLevel="0" collapsed="false">
      <c r="A10" s="4" t="s">
        <v>130</v>
      </c>
      <c r="B10" s="4" t="s">
        <v>119</v>
      </c>
      <c r="C10" s="4" t="s">
        <v>120</v>
      </c>
      <c r="D10" s="5" t="s">
        <v>131</v>
      </c>
      <c r="E10" s="5" t="s">
        <v>22</v>
      </c>
      <c r="F10" s="4" t="s">
        <v>55</v>
      </c>
      <c r="G10" s="18" t="n">
        <v>14</v>
      </c>
      <c r="H10" s="18" t="n">
        <v>14</v>
      </c>
      <c r="I10" s="19" t="n">
        <f aca="false">G10-H10</f>
        <v>0</v>
      </c>
      <c r="J10" s="20" t="str">
        <f aca="false">IF(I10&lt;=0,"DONE","EN CURSO")</f>
        <v>DONE</v>
      </c>
    </row>
    <row r="11" customFormat="false" ht="19.5" hidden="false" customHeight="true" outlineLevel="0" collapsed="false">
      <c r="A11" s="4" t="s">
        <v>132</v>
      </c>
      <c r="B11" s="4" t="s">
        <v>125</v>
      </c>
      <c r="C11" s="4" t="s">
        <v>120</v>
      </c>
      <c r="D11" s="5" t="s">
        <v>133</v>
      </c>
      <c r="E11" s="5" t="s">
        <v>22</v>
      </c>
      <c r="F11" s="4" t="s">
        <v>55</v>
      </c>
      <c r="G11" s="18" t="n">
        <v>12</v>
      </c>
      <c r="H11" s="18" t="n">
        <v>12</v>
      </c>
      <c r="I11" s="19" t="n">
        <f aca="false">G11-H11</f>
        <v>0</v>
      </c>
      <c r="J11" s="20" t="str">
        <f aca="false">IF(I11&lt;=0,"DONE","EN CURSO")</f>
        <v>DONE</v>
      </c>
    </row>
    <row r="12" customFormat="false" ht="19.5" hidden="false" customHeight="true" outlineLevel="0" collapsed="false">
      <c r="A12" s="4" t="s">
        <v>134</v>
      </c>
      <c r="B12" s="4" t="s">
        <v>128</v>
      </c>
      <c r="C12" s="4" t="s">
        <v>120</v>
      </c>
      <c r="D12" s="5" t="s">
        <v>135</v>
      </c>
      <c r="E12" s="5" t="s">
        <v>22</v>
      </c>
      <c r="F12" s="4" t="s">
        <v>55</v>
      </c>
      <c r="G12" s="18" t="n">
        <v>12</v>
      </c>
      <c r="H12" s="18" t="n">
        <v>12</v>
      </c>
      <c r="I12" s="19" t="n">
        <f aca="false">G12-H12</f>
        <v>0</v>
      </c>
      <c r="J12" s="20" t="str">
        <f aca="false">IF(I12&lt;=0,"DONE","EN CURSO")</f>
        <v>DONE</v>
      </c>
    </row>
    <row r="13" customFormat="false" ht="19.5" hidden="false" customHeight="true" outlineLevel="0" collapsed="false">
      <c r="A13" s="4" t="s">
        <v>136</v>
      </c>
      <c r="B13" s="4" t="s">
        <v>137</v>
      </c>
      <c r="C13" s="4" t="s">
        <v>120</v>
      </c>
      <c r="D13" s="5" t="s">
        <v>138</v>
      </c>
      <c r="E13" s="5" t="s">
        <v>22</v>
      </c>
      <c r="F13" s="4" t="s">
        <v>55</v>
      </c>
      <c r="G13" s="18" t="n">
        <v>10</v>
      </c>
      <c r="H13" s="18" t="n">
        <v>10</v>
      </c>
      <c r="I13" s="19" t="n">
        <f aca="false">G13-H13</f>
        <v>0</v>
      </c>
      <c r="J13" s="20" t="str">
        <f aca="false">IF(I13&lt;=0,"DONE","EN CURSO")</f>
        <v>DONE</v>
      </c>
    </row>
    <row r="14" customFormat="false" ht="19.5" hidden="false" customHeight="true" outlineLevel="0" collapsed="false">
      <c r="A14" s="4" t="s">
        <v>139</v>
      </c>
      <c r="B14" s="4" t="s">
        <v>140</v>
      </c>
      <c r="C14" s="4" t="s">
        <v>120</v>
      </c>
      <c r="D14" s="5" t="s">
        <v>141</v>
      </c>
      <c r="E14" s="5" t="s">
        <v>22</v>
      </c>
      <c r="F14" s="4" t="s">
        <v>55</v>
      </c>
      <c r="G14" s="18" t="n">
        <v>8</v>
      </c>
      <c r="H14" s="18" t="n">
        <v>8</v>
      </c>
      <c r="I14" s="19" t="n">
        <f aca="false">G14-H14</f>
        <v>0</v>
      </c>
      <c r="J14" s="20" t="str">
        <f aca="false">IF(I14&lt;=0,"DONE","EN CURSO")</f>
        <v>DONE</v>
      </c>
    </row>
    <row r="15" customFormat="false" ht="19.5" hidden="false" customHeight="true" outlineLevel="0" collapsed="false">
      <c r="A15" s="4" t="s">
        <v>142</v>
      </c>
      <c r="B15" s="4" t="s">
        <v>69</v>
      </c>
      <c r="C15" s="4" t="s">
        <v>70</v>
      </c>
      <c r="D15" s="5" t="s">
        <v>143</v>
      </c>
      <c r="E15" s="5" t="s">
        <v>23</v>
      </c>
      <c r="F15" s="4" t="s">
        <v>72</v>
      </c>
      <c r="G15" s="18" t="n">
        <v>6</v>
      </c>
      <c r="H15" s="18" t="n">
        <v>6</v>
      </c>
      <c r="I15" s="19" t="n">
        <f aca="false">G15-H15</f>
        <v>0</v>
      </c>
      <c r="J15" s="20" t="str">
        <f aca="false">IF(I15&lt;=0,"DONE","EN CURSO")</f>
        <v>DONE</v>
      </c>
    </row>
    <row r="16" customFormat="false" ht="19.5" hidden="false" customHeight="true" outlineLevel="0" collapsed="false">
      <c r="A16" s="4" t="s">
        <v>144</v>
      </c>
      <c r="B16" s="4" t="s">
        <v>69</v>
      </c>
      <c r="C16" s="4" t="s">
        <v>70</v>
      </c>
      <c r="D16" s="5" t="s">
        <v>145</v>
      </c>
      <c r="E16" s="5" t="s">
        <v>23</v>
      </c>
      <c r="F16" s="4" t="s">
        <v>72</v>
      </c>
      <c r="G16" s="18" t="n">
        <v>12</v>
      </c>
      <c r="H16" s="18" t="n">
        <v>12</v>
      </c>
      <c r="I16" s="19" t="n">
        <f aca="false">G16-H16</f>
        <v>0</v>
      </c>
      <c r="J16" s="20" t="str">
        <f aca="false">IF(I16&lt;=0,"DONE","EN CURSO")</f>
        <v>DONE</v>
      </c>
    </row>
    <row r="17" customFormat="false" ht="15" hidden="false" customHeight="false" outlineLevel="0" collapsed="false">
      <c r="A17" s="4" t="s">
        <v>146</v>
      </c>
      <c r="B17" s="4" t="s">
        <v>69</v>
      </c>
      <c r="C17" s="4" t="s">
        <v>78</v>
      </c>
      <c r="D17" s="5" t="s">
        <v>147</v>
      </c>
      <c r="E17" s="5" t="s">
        <v>23</v>
      </c>
      <c r="F17" s="4" t="s">
        <v>78</v>
      </c>
      <c r="G17" s="18" t="n">
        <v>8</v>
      </c>
      <c r="H17" s="18" t="n">
        <v>8</v>
      </c>
      <c r="I17" s="19" t="n">
        <f aca="false">G17-H17</f>
        <v>0</v>
      </c>
      <c r="J17" s="20" t="str">
        <f aca="false">IF(I17&lt;=0,"DONE","EN CURSO")</f>
        <v>DONE</v>
      </c>
    </row>
    <row r="18" customFormat="false" ht="15" hidden="false" customHeight="false" outlineLevel="0" collapsed="false">
      <c r="A18" s="4" t="s">
        <v>148</v>
      </c>
      <c r="B18" s="4" t="s">
        <v>69</v>
      </c>
      <c r="C18" s="4" t="s">
        <v>70</v>
      </c>
      <c r="D18" s="5" t="s">
        <v>149</v>
      </c>
      <c r="E18" s="5" t="s">
        <v>23</v>
      </c>
      <c r="F18" s="4" t="s">
        <v>72</v>
      </c>
      <c r="G18" s="18" t="n">
        <v>4</v>
      </c>
      <c r="H18" s="18" t="n">
        <v>4</v>
      </c>
      <c r="I18" s="19" t="n">
        <f aca="false">G18-H18</f>
        <v>0</v>
      </c>
      <c r="J18" s="20" t="str">
        <f aca="false">IF(I18&lt;=0,"DONE","EN CURSO")</f>
        <v>DONE</v>
      </c>
    </row>
    <row r="19" customFormat="false" ht="15" hidden="false" customHeight="true" outlineLevel="0" collapsed="false">
      <c r="A19" s="3" t="s">
        <v>150</v>
      </c>
      <c r="B19" s="3"/>
      <c r="C19" s="3"/>
      <c r="D19" s="3"/>
      <c r="E19" s="3"/>
      <c r="F19" s="3"/>
      <c r="G19" s="21" t="n">
        <f aca="false">SUM(G6:G18)</f>
        <v>142</v>
      </c>
      <c r="H19" s="21" t="n">
        <f aca="false">SUM(H6:H18)</f>
        <v>142</v>
      </c>
      <c r="I19" s="21" t="n">
        <f aca="false">SUM(I6:I18)</f>
        <v>0</v>
      </c>
      <c r="J19" s="21" t="str">
        <f aca="false">IF(AND(I19=0,G19=H19),"DONE","EN CURSO")</f>
        <v>DONE</v>
      </c>
    </row>
  </sheetData>
  <autoFilter ref="A5:J16"/>
  <mergeCells count="3">
    <mergeCell ref="A1:J1"/>
    <mergeCell ref="A2:J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540"/>
    <pageSetUpPr fitToPage="tru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J17" activeCellId="0" sqref="J1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25.5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5</v>
      </c>
      <c r="H5" s="3" t="s">
        <v>6</v>
      </c>
      <c r="I5" s="3" t="s">
        <v>32</v>
      </c>
      <c r="J5" s="3" t="s">
        <v>7</v>
      </c>
    </row>
    <row r="6" customFormat="false" ht="19.5" hidden="false" customHeight="true" outlineLevel="0" collapsed="false">
      <c r="A6" s="4" t="s">
        <v>153</v>
      </c>
      <c r="B6" s="4" t="s">
        <v>154</v>
      </c>
      <c r="C6" s="4" t="s">
        <v>155</v>
      </c>
      <c r="D6" s="5" t="s">
        <v>156</v>
      </c>
      <c r="E6" s="5" t="s">
        <v>21</v>
      </c>
      <c r="F6" s="4" t="s">
        <v>37</v>
      </c>
      <c r="G6" s="18" t="n">
        <v>14</v>
      </c>
      <c r="H6" s="18" t="n">
        <v>4</v>
      </c>
      <c r="I6" s="19" t="n">
        <f aca="false">G6-H6</f>
        <v>10</v>
      </c>
      <c r="J6" s="20" t="str">
        <f aca="false">IF(I6&lt;=0,"DONE","EN CURSO")</f>
        <v>EN CURSO</v>
      </c>
    </row>
    <row r="7" customFormat="false" ht="19.5" hidden="false" customHeight="true" outlineLevel="0" collapsed="false">
      <c r="A7" s="4" t="s">
        <v>157</v>
      </c>
      <c r="B7" s="4" t="s">
        <v>158</v>
      </c>
      <c r="C7" s="4" t="s">
        <v>155</v>
      </c>
      <c r="D7" s="5" t="s">
        <v>159</v>
      </c>
      <c r="E7" s="5" t="s">
        <v>21</v>
      </c>
      <c r="F7" s="4" t="s">
        <v>37</v>
      </c>
      <c r="G7" s="18" t="n">
        <v>12</v>
      </c>
      <c r="H7" s="18" t="n">
        <v>0</v>
      </c>
      <c r="I7" s="19" t="n">
        <f aca="false">G7-H7</f>
        <v>12</v>
      </c>
      <c r="J7" s="20" t="str">
        <f aca="false">IF(I7&lt;=0,"DONE","EN CURSO")</f>
        <v>EN CURSO</v>
      </c>
    </row>
    <row r="8" customFormat="false" ht="19.5" hidden="false" customHeight="true" outlineLevel="0" collapsed="false">
      <c r="A8" s="4" t="s">
        <v>160</v>
      </c>
      <c r="B8" s="4" t="s">
        <v>161</v>
      </c>
      <c r="C8" s="4" t="s">
        <v>155</v>
      </c>
      <c r="D8" s="5" t="s">
        <v>162</v>
      </c>
      <c r="E8" s="5" t="s">
        <v>21</v>
      </c>
      <c r="F8" s="4" t="s">
        <v>37</v>
      </c>
      <c r="G8" s="18" t="n">
        <v>10</v>
      </c>
      <c r="H8" s="18" t="n">
        <v>0</v>
      </c>
      <c r="I8" s="19" t="n">
        <f aca="false">G8-H8</f>
        <v>10</v>
      </c>
      <c r="J8" s="20" t="str">
        <f aca="false">IF(I8&lt;=0,"DONE","EN CURSO")</f>
        <v>EN CURSO</v>
      </c>
    </row>
    <row r="9" customFormat="false" ht="19.5" hidden="false" customHeight="true" outlineLevel="0" collapsed="false">
      <c r="A9" s="4" t="s">
        <v>163</v>
      </c>
      <c r="B9" s="4" t="s">
        <v>164</v>
      </c>
      <c r="C9" s="4" t="s">
        <v>120</v>
      </c>
      <c r="D9" s="5" t="s">
        <v>165</v>
      </c>
      <c r="E9" s="5" t="s">
        <v>21</v>
      </c>
      <c r="F9" s="4" t="s">
        <v>37</v>
      </c>
      <c r="G9" s="18" t="n">
        <v>12</v>
      </c>
      <c r="H9" s="18" t="n">
        <v>0</v>
      </c>
      <c r="I9" s="19" t="n">
        <f aca="false">G9-H9</f>
        <v>12</v>
      </c>
      <c r="J9" s="20" t="str">
        <f aca="false">IF(I9&lt;=0,"DONE","EN CURSO")</f>
        <v>EN CURSO</v>
      </c>
    </row>
    <row r="10" customFormat="false" ht="19.5" hidden="false" customHeight="true" outlineLevel="0" collapsed="false">
      <c r="A10" s="4" t="s">
        <v>166</v>
      </c>
      <c r="B10" s="4" t="s">
        <v>167</v>
      </c>
      <c r="C10" s="4" t="s">
        <v>168</v>
      </c>
      <c r="D10" s="5" t="s">
        <v>169</v>
      </c>
      <c r="E10" s="5" t="s">
        <v>21</v>
      </c>
      <c r="F10" s="4" t="s">
        <v>37</v>
      </c>
      <c r="G10" s="18" t="n">
        <v>12</v>
      </c>
      <c r="H10" s="18" t="n">
        <v>0</v>
      </c>
      <c r="I10" s="19" t="n">
        <f aca="false">G10-H10</f>
        <v>12</v>
      </c>
      <c r="J10" s="20" t="str">
        <f aca="false">IF(I10&lt;=0,"DONE","EN CURSO")</f>
        <v>EN CURSO</v>
      </c>
    </row>
    <row r="11" customFormat="false" ht="19.5" hidden="false" customHeight="true" outlineLevel="0" collapsed="false">
      <c r="A11" s="4" t="s">
        <v>170</v>
      </c>
      <c r="B11" s="4" t="s">
        <v>171</v>
      </c>
      <c r="C11" s="4" t="s">
        <v>78</v>
      </c>
      <c r="D11" s="5" t="s">
        <v>172</v>
      </c>
      <c r="E11" s="5" t="s">
        <v>21</v>
      </c>
      <c r="F11" s="4" t="s">
        <v>37</v>
      </c>
      <c r="G11" s="18" t="n">
        <v>10</v>
      </c>
      <c r="H11" s="18" t="n">
        <v>0</v>
      </c>
      <c r="I11" s="19" t="n">
        <f aca="false">G11-H11</f>
        <v>10</v>
      </c>
      <c r="J11" s="20" t="str">
        <f aca="false">IF(I11&lt;=0,"DONE","EN CURSO")</f>
        <v>EN CURSO</v>
      </c>
    </row>
    <row r="12" customFormat="false" ht="19.5" hidden="false" customHeight="true" outlineLevel="0" collapsed="false">
      <c r="A12" s="4" t="s">
        <v>173</v>
      </c>
      <c r="B12" s="4" t="s">
        <v>154</v>
      </c>
      <c r="C12" s="4" t="s">
        <v>155</v>
      </c>
      <c r="D12" s="5" t="s">
        <v>174</v>
      </c>
      <c r="E12" s="5" t="s">
        <v>22</v>
      </c>
      <c r="F12" s="4" t="s">
        <v>55</v>
      </c>
      <c r="G12" s="18" t="n">
        <v>16</v>
      </c>
      <c r="H12" s="18" t="n">
        <v>2</v>
      </c>
      <c r="I12" s="19" t="n">
        <f aca="false">G12-H12</f>
        <v>14</v>
      </c>
      <c r="J12" s="20" t="str">
        <f aca="false">IF(I12&lt;=0,"DONE","EN CURSO")</f>
        <v>EN CURSO</v>
      </c>
    </row>
    <row r="13" customFormat="false" ht="19.5" hidden="false" customHeight="true" outlineLevel="0" collapsed="false">
      <c r="A13" s="4" t="s">
        <v>175</v>
      </c>
      <c r="B13" s="4" t="s">
        <v>158</v>
      </c>
      <c r="C13" s="4" t="s">
        <v>155</v>
      </c>
      <c r="D13" s="5" t="s">
        <v>176</v>
      </c>
      <c r="E13" s="5" t="s">
        <v>22</v>
      </c>
      <c r="F13" s="4" t="s">
        <v>55</v>
      </c>
      <c r="G13" s="18" t="n">
        <v>10</v>
      </c>
      <c r="H13" s="18" t="n">
        <v>0</v>
      </c>
      <c r="I13" s="19" t="n">
        <f aca="false">G13-H13</f>
        <v>10</v>
      </c>
      <c r="J13" s="20" t="str">
        <f aca="false">IF(I13&lt;=0,"DONE","EN CURSO")</f>
        <v>EN CURSO</v>
      </c>
    </row>
    <row r="14" customFormat="false" ht="19.5" hidden="false" customHeight="true" outlineLevel="0" collapsed="false">
      <c r="A14" s="4" t="s">
        <v>177</v>
      </c>
      <c r="B14" s="4" t="s">
        <v>161</v>
      </c>
      <c r="C14" s="4" t="s">
        <v>155</v>
      </c>
      <c r="D14" s="5" t="s">
        <v>178</v>
      </c>
      <c r="E14" s="5" t="s">
        <v>22</v>
      </c>
      <c r="F14" s="4" t="s">
        <v>55</v>
      </c>
      <c r="G14" s="18" t="n">
        <v>10</v>
      </c>
      <c r="H14" s="18" t="n">
        <v>0</v>
      </c>
      <c r="I14" s="19" t="n">
        <f aca="false">G14-H14</f>
        <v>10</v>
      </c>
      <c r="J14" s="20" t="str">
        <f aca="false">IF(I14&lt;=0,"DONE","EN CURSO")</f>
        <v>EN CURSO</v>
      </c>
    </row>
    <row r="15" customFormat="false" ht="19.5" hidden="false" customHeight="true" outlineLevel="0" collapsed="false">
      <c r="A15" s="4" t="s">
        <v>179</v>
      </c>
      <c r="B15" s="4" t="s">
        <v>164</v>
      </c>
      <c r="C15" s="4" t="s">
        <v>120</v>
      </c>
      <c r="D15" s="5" t="s">
        <v>180</v>
      </c>
      <c r="E15" s="5" t="s">
        <v>22</v>
      </c>
      <c r="F15" s="4" t="s">
        <v>55</v>
      </c>
      <c r="G15" s="18" t="n">
        <v>10</v>
      </c>
      <c r="H15" s="18" t="n">
        <v>0</v>
      </c>
      <c r="I15" s="19" t="n">
        <f aca="false">G15-H15</f>
        <v>10</v>
      </c>
      <c r="J15" s="20" t="str">
        <f aca="false">IF(I15&lt;=0,"DONE","EN CURSO")</f>
        <v>EN CURSO</v>
      </c>
    </row>
    <row r="16" customFormat="false" ht="19.5" hidden="false" customHeight="true" outlineLevel="0" collapsed="false">
      <c r="A16" s="4" t="s">
        <v>181</v>
      </c>
      <c r="B16" s="4" t="s">
        <v>171</v>
      </c>
      <c r="C16" s="4" t="s">
        <v>78</v>
      </c>
      <c r="D16" s="5" t="s">
        <v>182</v>
      </c>
      <c r="E16" s="5" t="s">
        <v>22</v>
      </c>
      <c r="F16" s="4" t="s">
        <v>55</v>
      </c>
      <c r="G16" s="18" t="n">
        <v>12</v>
      </c>
      <c r="H16" s="18" t="n">
        <v>0</v>
      </c>
      <c r="I16" s="19" t="n">
        <f aca="false">G16-H16</f>
        <v>12</v>
      </c>
      <c r="J16" s="20" t="str">
        <f aca="false">IF(I16&lt;=0,"DONE","EN CURSO")</f>
        <v>EN CURSO</v>
      </c>
    </row>
    <row r="17" customFormat="false" ht="15" hidden="false" customHeight="false" outlineLevel="0" collapsed="false">
      <c r="A17" s="4" t="s">
        <v>183</v>
      </c>
      <c r="B17" s="4" t="s">
        <v>171</v>
      </c>
      <c r="C17" s="4" t="s">
        <v>184</v>
      </c>
      <c r="D17" s="5" t="s">
        <v>185</v>
      </c>
      <c r="E17" s="5" t="s">
        <v>22</v>
      </c>
      <c r="F17" s="4" t="s">
        <v>55</v>
      </c>
      <c r="G17" s="18" t="n">
        <v>8</v>
      </c>
      <c r="H17" s="18" t="n">
        <v>0</v>
      </c>
      <c r="I17" s="19" t="n">
        <f aca="false">G17-H17</f>
        <v>8</v>
      </c>
      <c r="J17" s="20" t="str">
        <f aca="false">IF(I17&lt;=0,"DONE","EN CURSO")</f>
        <v>EN CURSO</v>
      </c>
    </row>
    <row r="18" customFormat="false" ht="15" hidden="false" customHeight="false" outlineLevel="0" collapsed="false">
      <c r="A18" s="4" t="s">
        <v>186</v>
      </c>
      <c r="B18" s="4" t="s">
        <v>69</v>
      </c>
      <c r="C18" s="4" t="s">
        <v>70</v>
      </c>
      <c r="D18" s="5" t="s">
        <v>187</v>
      </c>
      <c r="E18" s="5" t="s">
        <v>23</v>
      </c>
      <c r="F18" s="4" t="s">
        <v>72</v>
      </c>
      <c r="G18" s="18" t="n">
        <v>8</v>
      </c>
      <c r="H18" s="18" t="n">
        <v>2</v>
      </c>
      <c r="I18" s="19" t="n">
        <f aca="false">G18-H18</f>
        <v>6</v>
      </c>
      <c r="J18" s="20" t="str">
        <f aca="false">IF(I18&lt;=0,"DONE","EN CURSO")</f>
        <v>EN CURSO</v>
      </c>
    </row>
    <row r="19" customFormat="false" ht="15" hidden="false" customHeight="false" outlineLevel="0" collapsed="false">
      <c r="A19" s="4" t="s">
        <v>188</v>
      </c>
      <c r="B19" s="4" t="s">
        <v>69</v>
      </c>
      <c r="C19" s="4" t="s">
        <v>70</v>
      </c>
      <c r="D19" s="5" t="s">
        <v>189</v>
      </c>
      <c r="E19" s="5" t="s">
        <v>23</v>
      </c>
      <c r="F19" s="4" t="s">
        <v>72</v>
      </c>
      <c r="G19" s="18" t="n">
        <v>8</v>
      </c>
      <c r="H19" s="18" t="n">
        <v>0</v>
      </c>
      <c r="I19" s="19" t="n">
        <f aca="false">G19-H19</f>
        <v>8</v>
      </c>
      <c r="J19" s="20" t="str">
        <f aca="false">IF(I19&lt;=0,"DONE","EN CURSO")</f>
        <v>EN CURSO</v>
      </c>
    </row>
    <row r="20" customFormat="false" ht="15" hidden="false" customHeight="false" outlineLevel="0" collapsed="false">
      <c r="A20" s="4" t="s">
        <v>190</v>
      </c>
      <c r="B20" s="4" t="s">
        <v>69</v>
      </c>
      <c r="C20" s="4" t="s">
        <v>78</v>
      </c>
      <c r="D20" s="5" t="s">
        <v>191</v>
      </c>
      <c r="E20" s="5" t="s">
        <v>23</v>
      </c>
      <c r="F20" s="4" t="s">
        <v>78</v>
      </c>
      <c r="G20" s="18" t="n">
        <v>10</v>
      </c>
      <c r="H20" s="18" t="n">
        <v>0</v>
      </c>
      <c r="I20" s="19" t="n">
        <f aca="false">G20-H20</f>
        <v>10</v>
      </c>
      <c r="J20" s="20" t="str">
        <f aca="false">IF(I20&lt;=0,"DONE","EN CURSO")</f>
        <v>EN CURSO</v>
      </c>
    </row>
    <row r="21" customFormat="false" ht="15" hidden="false" customHeight="false" outlineLevel="0" collapsed="false">
      <c r="A21" s="4" t="s">
        <v>192</v>
      </c>
      <c r="B21" s="4" t="s">
        <v>69</v>
      </c>
      <c r="C21" s="4" t="s">
        <v>70</v>
      </c>
      <c r="D21" s="5" t="s">
        <v>193</v>
      </c>
      <c r="E21" s="5" t="s">
        <v>23</v>
      </c>
      <c r="F21" s="4" t="s">
        <v>72</v>
      </c>
      <c r="G21" s="18" t="n">
        <v>8</v>
      </c>
      <c r="H21" s="18" t="n">
        <v>0</v>
      </c>
      <c r="I21" s="19" t="n">
        <f aca="false">G21-H21</f>
        <v>8</v>
      </c>
      <c r="J21" s="20" t="str">
        <f aca="false">IF(I21&lt;=0,"DONE","EN CURSO")</f>
        <v>EN CURSO</v>
      </c>
    </row>
    <row r="22" customFormat="false" ht="15" hidden="false" customHeight="true" outlineLevel="0" collapsed="false">
      <c r="A22" s="3" t="s">
        <v>194</v>
      </c>
      <c r="B22" s="3"/>
      <c r="C22" s="3"/>
      <c r="D22" s="3"/>
      <c r="E22" s="3"/>
      <c r="F22" s="3"/>
      <c r="G22" s="21" t="n">
        <f aca="false">SUM(G6:G21)</f>
        <v>170</v>
      </c>
      <c r="H22" s="21" t="n">
        <f aca="false">SUM(H6:H21)</f>
        <v>8</v>
      </c>
      <c r="I22" s="21" t="n">
        <f aca="false">SUM(I6:I21)</f>
        <v>162</v>
      </c>
      <c r="J22" s="21" t="str">
        <f aca="false">IF(AND(I22=0,G22=H22),"DONE","EN CURSO")</f>
        <v>EN CURSO</v>
      </c>
    </row>
  </sheetData>
  <autoFilter ref="A5:J16"/>
  <mergeCells count="3">
    <mergeCell ref="A1:J1"/>
    <mergeCell ref="A2:J2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8AB0"/>
    <pageSetUpPr fitToPage="true"/>
  </sheetPr>
  <dimension ref="A1:I16"/>
  <sheetViews>
    <sheetView showFormulas="false" showGridLines="fals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6"/>
  </cols>
  <sheetData>
    <row r="1" customFormat="false" ht="21.7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  <c r="G2" s="2"/>
      <c r="H2" s="2"/>
      <c r="I2" s="2"/>
    </row>
    <row r="5" customFormat="false" ht="27.75" hidden="false" customHeight="true" outlineLevel="0" collapsed="false">
      <c r="A5" s="3" t="s">
        <v>197</v>
      </c>
      <c r="B5" s="3" t="s">
        <v>198</v>
      </c>
      <c r="C5" s="3" t="s">
        <v>199</v>
      </c>
      <c r="D5" s="3" t="s">
        <v>200</v>
      </c>
      <c r="E5" s="3" t="s">
        <v>201</v>
      </c>
      <c r="F5" s="3" t="s">
        <v>202</v>
      </c>
      <c r="G5" s="3" t="s">
        <v>203</v>
      </c>
      <c r="H5" s="3" t="s">
        <v>204</v>
      </c>
      <c r="I5" s="3" t="s">
        <v>205</v>
      </c>
    </row>
    <row r="6" customFormat="false" ht="15" hidden="false" customHeight="false" outlineLevel="0" collapsed="false">
      <c r="A6" s="4" t="s">
        <v>206</v>
      </c>
      <c r="B6" s="7" t="n">
        <f aca="false">160*(1-0/10)</f>
        <v>160</v>
      </c>
      <c r="C6" s="6" t="n">
        <v>160</v>
      </c>
      <c r="D6" s="7" t="n">
        <f aca="false">154*(1-0/10)</f>
        <v>154</v>
      </c>
      <c r="E6" s="6" t="n">
        <v>160</v>
      </c>
      <c r="F6" s="7" t="n">
        <f aca="false">142*(1-0/10)</f>
        <v>142</v>
      </c>
      <c r="G6" s="6" t="n">
        <v>160</v>
      </c>
      <c r="H6" s="7" t="n">
        <f aca="false">170*(1-0/10)</f>
        <v>170</v>
      </c>
      <c r="I6" s="18" t="n">
        <v>170</v>
      </c>
    </row>
    <row r="7" customFormat="false" ht="15" hidden="false" customHeight="false" outlineLevel="0" collapsed="false">
      <c r="A7" s="9" t="s">
        <v>207</v>
      </c>
      <c r="B7" s="12" t="n">
        <f aca="false">160*(1-1/10)</f>
        <v>144</v>
      </c>
      <c r="C7" s="11" t="n">
        <v>152</v>
      </c>
      <c r="D7" s="12" t="n">
        <f aca="false">154*(1-1/10)</f>
        <v>138.6</v>
      </c>
      <c r="E7" s="11" t="n">
        <v>150</v>
      </c>
      <c r="F7" s="12" t="n">
        <f aca="false">142*(1-1/10)</f>
        <v>127.8</v>
      </c>
      <c r="G7" s="11" t="n">
        <v>154</v>
      </c>
      <c r="H7" s="12" t="n">
        <f aca="false">170*(1-1/10)</f>
        <v>153</v>
      </c>
      <c r="I7" s="22" t="n">
        <v>166</v>
      </c>
    </row>
    <row r="8" customFormat="false" ht="15" hidden="false" customHeight="false" outlineLevel="0" collapsed="false">
      <c r="A8" s="4" t="s">
        <v>208</v>
      </c>
      <c r="B8" s="7" t="n">
        <f aca="false">160*(1-2/10)</f>
        <v>128</v>
      </c>
      <c r="C8" s="6" t="n">
        <v>136</v>
      </c>
      <c r="D8" s="7" t="n">
        <f aca="false">154*(1-2/10)</f>
        <v>123.2</v>
      </c>
      <c r="E8" s="6" t="n">
        <v>134</v>
      </c>
      <c r="F8" s="7" t="n">
        <f aca="false">142*(1-2/10)</f>
        <v>113.6</v>
      </c>
      <c r="G8" s="6" t="n">
        <v>138</v>
      </c>
      <c r="H8" s="7" t="n">
        <f aca="false">170*(1-2/10)</f>
        <v>136</v>
      </c>
      <c r="I8" s="18" t="n">
        <v>162</v>
      </c>
    </row>
    <row r="9" customFormat="false" ht="15" hidden="false" customHeight="false" outlineLevel="0" collapsed="false">
      <c r="A9" s="9" t="s">
        <v>209</v>
      </c>
      <c r="B9" s="12" t="n">
        <f aca="false">160*(1-3/10)</f>
        <v>112</v>
      </c>
      <c r="C9" s="11" t="n">
        <v>118</v>
      </c>
      <c r="D9" s="12" t="n">
        <f aca="false">154*(1-3/10)</f>
        <v>107.8</v>
      </c>
      <c r="E9" s="11" t="n">
        <v>116</v>
      </c>
      <c r="F9" s="12" t="n">
        <f aca="false">142*(1-3/10)</f>
        <v>99.4</v>
      </c>
      <c r="G9" s="11" t="n">
        <v>120</v>
      </c>
      <c r="H9" s="12" t="n">
        <f aca="false">170*(1-3/10)</f>
        <v>119</v>
      </c>
      <c r="I9" s="22" t="n">
        <v>162</v>
      </c>
    </row>
    <row r="10" customFormat="false" ht="15" hidden="false" customHeight="false" outlineLevel="0" collapsed="false">
      <c r="A10" s="4" t="s">
        <v>210</v>
      </c>
      <c r="B10" s="7" t="n">
        <f aca="false">160*(1-4/10)</f>
        <v>96</v>
      </c>
      <c r="C10" s="6" t="n">
        <v>98</v>
      </c>
      <c r="D10" s="7" t="n">
        <f aca="false">154*(1-4/10)</f>
        <v>92.4</v>
      </c>
      <c r="E10" s="6" t="n">
        <v>95</v>
      </c>
      <c r="F10" s="7" t="n">
        <f aca="false">142*(1-4/10)</f>
        <v>85.2</v>
      </c>
      <c r="G10" s="6" t="n">
        <v>100</v>
      </c>
      <c r="H10" s="7" t="n">
        <f aca="false">170*(1-4/10)</f>
        <v>102</v>
      </c>
      <c r="I10" s="18" t="n">
        <v>162</v>
      </c>
    </row>
    <row r="11" customFormat="false" ht="15" hidden="false" customHeight="false" outlineLevel="0" collapsed="false">
      <c r="A11" s="9" t="s">
        <v>211</v>
      </c>
      <c r="B11" s="12" t="n">
        <f aca="false">160*(1-5/10)</f>
        <v>80</v>
      </c>
      <c r="C11" s="11" t="n">
        <v>78</v>
      </c>
      <c r="D11" s="12" t="n">
        <f aca="false">154*(1-5/10)</f>
        <v>77</v>
      </c>
      <c r="E11" s="11" t="n">
        <v>76</v>
      </c>
      <c r="F11" s="12" t="n">
        <f aca="false">142*(1-5/10)</f>
        <v>71</v>
      </c>
      <c r="G11" s="11" t="n">
        <v>82</v>
      </c>
      <c r="H11" s="12" t="n">
        <f aca="false">170*(1-5/10)</f>
        <v>85</v>
      </c>
      <c r="I11" s="22" t="n">
        <v>162</v>
      </c>
    </row>
    <row r="12" customFormat="false" ht="15" hidden="false" customHeight="false" outlineLevel="0" collapsed="false">
      <c r="A12" s="4" t="s">
        <v>212</v>
      </c>
      <c r="B12" s="7" t="n">
        <f aca="false">160*(1-6/10)</f>
        <v>64</v>
      </c>
      <c r="C12" s="6" t="n">
        <v>60</v>
      </c>
      <c r="D12" s="7" t="n">
        <f aca="false">154*(1-6/10)</f>
        <v>61.6</v>
      </c>
      <c r="E12" s="6" t="n">
        <v>58</v>
      </c>
      <c r="F12" s="7" t="n">
        <f aca="false">142*(1-6/10)</f>
        <v>56.8</v>
      </c>
      <c r="G12" s="6" t="n">
        <v>62</v>
      </c>
      <c r="H12" s="7" t="n">
        <f aca="false">170*(1-6/10)</f>
        <v>68</v>
      </c>
      <c r="I12" s="18" t="n">
        <v>162</v>
      </c>
    </row>
    <row r="13" customFormat="false" ht="15" hidden="false" customHeight="false" outlineLevel="0" collapsed="false">
      <c r="A13" s="9" t="s">
        <v>213</v>
      </c>
      <c r="B13" s="12" t="n">
        <f aca="false">160*(1-7/10)</f>
        <v>48</v>
      </c>
      <c r="C13" s="11" t="n">
        <v>42</v>
      </c>
      <c r="D13" s="12" t="n">
        <f aca="false">154*(1-7/10)</f>
        <v>46.2</v>
      </c>
      <c r="E13" s="11" t="n">
        <v>40</v>
      </c>
      <c r="F13" s="12" t="n">
        <f aca="false">142*(1-7/10)</f>
        <v>42.6</v>
      </c>
      <c r="G13" s="11" t="n">
        <v>45</v>
      </c>
      <c r="H13" s="12" t="n">
        <f aca="false">170*(1-7/10)</f>
        <v>51</v>
      </c>
      <c r="I13" s="22" t="n">
        <v>162</v>
      </c>
    </row>
    <row r="14" customFormat="false" ht="15" hidden="false" customHeight="false" outlineLevel="0" collapsed="false">
      <c r="A14" s="4" t="s">
        <v>214</v>
      </c>
      <c r="B14" s="7" t="n">
        <f aca="false">160*(1-8/10)</f>
        <v>32</v>
      </c>
      <c r="C14" s="6" t="n">
        <v>28</v>
      </c>
      <c r="D14" s="7" t="n">
        <f aca="false">154*(1-8/10)</f>
        <v>30.8</v>
      </c>
      <c r="E14" s="6" t="n">
        <v>25</v>
      </c>
      <c r="F14" s="7" t="n">
        <f aca="false">142*(1-8/10)</f>
        <v>28.4</v>
      </c>
      <c r="G14" s="6" t="n">
        <v>28</v>
      </c>
      <c r="H14" s="7" t="n">
        <f aca="false">170*(1-8/10)</f>
        <v>34</v>
      </c>
      <c r="I14" s="18" t="n">
        <v>162</v>
      </c>
    </row>
    <row r="15" customFormat="false" ht="15" hidden="false" customHeight="false" outlineLevel="0" collapsed="false">
      <c r="A15" s="9" t="s">
        <v>215</v>
      </c>
      <c r="B15" s="12" t="n">
        <f aca="false">160*(1-9/10)</f>
        <v>16</v>
      </c>
      <c r="C15" s="11" t="n">
        <v>12</v>
      </c>
      <c r="D15" s="12" t="n">
        <f aca="false">154*(1-9/10)</f>
        <v>15.4</v>
      </c>
      <c r="E15" s="11" t="n">
        <v>10</v>
      </c>
      <c r="F15" s="12" t="n">
        <f aca="false">142*(1-9/10)</f>
        <v>14.2</v>
      </c>
      <c r="G15" s="11" t="n">
        <v>12</v>
      </c>
      <c r="H15" s="12" t="n">
        <f aca="false">170*(1-9/10)</f>
        <v>17</v>
      </c>
      <c r="I15" s="22" t="n">
        <v>162</v>
      </c>
    </row>
    <row r="16" customFormat="false" ht="15" hidden="false" customHeight="false" outlineLevel="0" collapsed="false">
      <c r="A16" s="4" t="s">
        <v>216</v>
      </c>
      <c r="B16" s="7" t="n">
        <f aca="false">160*(1-10/10)</f>
        <v>0</v>
      </c>
      <c r="C16" s="6" t="n">
        <v>0</v>
      </c>
      <c r="D16" s="7" t="n">
        <f aca="false">154*(1-10/10)</f>
        <v>0</v>
      </c>
      <c r="E16" s="6" t="n">
        <v>0</v>
      </c>
      <c r="F16" s="7" t="n">
        <f aca="false">142*(1-10/10)</f>
        <v>0</v>
      </c>
      <c r="G16" s="6" t="n">
        <v>0</v>
      </c>
      <c r="H16" s="7" t="n">
        <f aca="false">170*(1-10/10)</f>
        <v>0</v>
      </c>
      <c r="I16" s="18" t="n">
        <v>162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2026-09-29T03:41:44Z</dcterms:created>
  <dc:creator>openpyxl</dc:creator>
  <dc:description/>
  <dc:language>en-US</dc:language>
  <cp:lastModifiedBy/>
  <dcterms:modified xsi:type="dcterms:W3CDTF">2026-10-07T18:43:07Z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